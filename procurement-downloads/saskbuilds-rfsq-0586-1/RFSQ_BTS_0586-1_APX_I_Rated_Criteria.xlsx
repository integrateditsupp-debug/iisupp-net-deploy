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G:\SPS\Common\Business &amp; Technology Solutions\Competitions\RFSQ\0586_SBP_ITD_Data_Mgmt_Analytics_Consulting_Services\3_Draft_Documents\"/>
    </mc:Choice>
  </mc:AlternateContent>
  <xr:revisionPtr revIDLastSave="0" documentId="13_ncr:1_{8A44866B-8B87-4499-8C46-21879E9E9B0E}" xr6:coauthVersionLast="47" xr6:coauthVersionMax="47" xr10:uidLastSave="{00000000-0000-0000-0000-000000000000}"/>
  <bookViews>
    <workbookView xWindow="-120" yWindow="-120" windowWidth="29040" windowHeight="15840" tabRatio="945" activeTab="4" xr2:uid="{222C67C0-8282-4F9C-B734-1C296F7B80F3}"/>
  </bookViews>
  <sheets>
    <sheet name="1) Data Governance" sheetId="1" r:id="rId1"/>
    <sheet name="2) Business Transformation" sheetId="3" r:id="rId2"/>
    <sheet name="3) Data Management Support" sheetId="4" r:id="rId3"/>
    <sheet name="4) Reporting, BI, Dashboards" sheetId="5" r:id="rId4"/>
    <sheet name="5) Data Science, ML, AI" sheetId="6" r:id="rId5"/>
    <sheet name="6) Data Integration"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7" l="1"/>
  <c r="B13" i="6"/>
  <c r="B13" i="5"/>
  <c r="B13" i="4"/>
  <c r="B28" i="3"/>
  <c r="B20" i="3"/>
  <c r="B13" i="3"/>
  <c r="B28" i="1"/>
  <c r="B20" i="1"/>
  <c r="B13" i="1"/>
  <c r="B19" i="7"/>
  <c r="B27" i="7"/>
  <c r="C11" i="7"/>
  <c r="B29" i="6"/>
  <c r="B21" i="6"/>
  <c r="C11" i="6"/>
  <c r="B29" i="5"/>
  <c r="B21" i="5"/>
  <c r="C11" i="5"/>
  <c r="B28" i="4"/>
  <c r="B20" i="4"/>
  <c r="C11" i="4"/>
  <c r="C11" i="3"/>
  <c r="C11" i="1"/>
</calcChain>
</file>

<file path=xl/sharedStrings.xml><?xml version="1.0" encoding="utf-8"?>
<sst xmlns="http://schemas.openxmlformats.org/spreadsheetml/2006/main" count="124" uniqueCount="89">
  <si>
    <t>The following is an overview of the categories and weighting for the rated criteria of the RFSQ:</t>
  </si>
  <si>
    <t>Rated Criteria Category</t>
  </si>
  <si>
    <t>Weighting (Points)</t>
  </si>
  <si>
    <t>Total Points</t>
  </si>
  <si>
    <t xml:space="preserve">	PLEASE UTILIZE THIS LATEST AMENDED OUTLINE WHEN PROVIDING YOUR RESPONSE.
(Note: this outline is presented in spreadsheet form, Proponents can submit responses any of the prefered file formats described RFSQ section 1.5.1)</t>
  </si>
  <si>
    <t>Each Proponent should provide the following in its Submission:</t>
  </si>
  <si>
    <t>For each engagement, provide, at a minimum:
1. An overview of the engagement including client name and client industry;
2. A description of the roles and responsibilities your company, and any partner organizations, had in the engagement;
3. An overview of how the engagement aligns with the scope and scale of the requirements outlined in this service category;
4. Engagement deliverables and timelines;
5. A description of the challenges experienced and key learnings gained by your company as a result of involvement in the engagement.
Top-ranked Proponents may be asked to provide or confirm client references (including contact name and e-mail address) for each project.</t>
  </si>
  <si>
    <r>
      <t xml:space="preserve">Proponents are evaluated against each of the following scored qualifications for this service category.  Each Proponent is scored based on the extent to which it is determined they meet the requested services outlined in Appendix A, Section B.1 Data Governance.  Note:
</t>
    </r>
    <r>
      <rPr>
        <sz val="10"/>
        <color rgb="FFFF0000"/>
        <rFont val="Arial"/>
        <family val="2"/>
      </rPr>
      <t>▪</t>
    </r>
    <r>
      <rPr>
        <i/>
        <sz val="10"/>
        <color rgb="FFFF0000"/>
        <rFont val="Calibri"/>
        <family val="2"/>
      </rPr>
      <t xml:space="preserve">Proponents can respond to section D.5.1, section D.5.2 or both.
▪Proponents are encouraged to select engagements that showcase the breadth in their capabilities.
</t>
    </r>
    <r>
      <rPr>
        <i/>
        <sz val="10"/>
        <color rgb="FF000000"/>
        <rFont val="Calibri"/>
        <family val="2"/>
      </rPr>
      <t xml:space="preserve">▪Engagements that represent a similar approach / scope as that which is being proposed are desired. </t>
    </r>
  </si>
  <si>
    <t>D.5 Proponent Experience and Qualifications - Data Governance</t>
  </si>
  <si>
    <t>D.6 Capacity to Deliver - Data Governance</t>
  </si>
  <si>
    <t>D.7 Value Add-ons and Innovation - Data Governance</t>
  </si>
  <si>
    <t>D. Rated Criteria - Data Governance</t>
  </si>
  <si>
    <t>Business Transformation</t>
  </si>
  <si>
    <t>D. Rated Criteria - Business Transformation</t>
  </si>
  <si>
    <t>D.5 Proponent Experience and Qualifications - Business Transformation</t>
  </si>
  <si>
    <t>D.6 Capacity to Deliver - Business Transformation</t>
  </si>
  <si>
    <t>D.7 Value Add-ons and Innovation - Business Transformation</t>
  </si>
  <si>
    <t>Data Management Support</t>
  </si>
  <si>
    <r>
      <t>D.</t>
    </r>
    <r>
      <rPr>
        <b/>
        <sz val="14"/>
        <color rgb="FFFF0000"/>
        <rFont val="Calibri"/>
        <family val="2"/>
        <scheme val="minor"/>
      </rPr>
      <t xml:space="preserve"> </t>
    </r>
    <r>
      <rPr>
        <b/>
        <sz val="14"/>
        <color theme="1"/>
        <rFont val="Calibri"/>
        <family val="2"/>
        <scheme val="minor"/>
      </rPr>
      <t>Rated Criteria - Data Management Support</t>
    </r>
  </si>
  <si>
    <t>D.5 Proponent Experience and Qualifications - Data Management Support</t>
  </si>
  <si>
    <t>D.6 Capacity to Deliver - Data Management Support</t>
  </si>
  <si>
    <t>D.7 Value Add-ons and Innovation - Data Management Support</t>
  </si>
  <si>
    <t>Reporting, BI, Dashboards</t>
  </si>
  <si>
    <t>D. Rated Criteria - Reporting, BI, Dashboards</t>
  </si>
  <si>
    <t>D.5 Proponent Experience and Qualifications - Reporting, BI, Dashboards</t>
  </si>
  <si>
    <t>D.6 Capacity to Deliver - Reporting, BI, Dashboards</t>
  </si>
  <si>
    <t>D.7 Value Add-ons and Innovation - Reporting, BI, Dashboards</t>
  </si>
  <si>
    <t>Data Governance</t>
  </si>
  <si>
    <t>D.5 Proponent Experience and Qualifications - Data Science, ML, AI</t>
  </si>
  <si>
    <t>Data Science, Machine Language (ML), Artificial Intelligence (AI)</t>
  </si>
  <si>
    <t>D. Rated Criteria - Data Science, ML, AI</t>
  </si>
  <si>
    <t>D.6 Capacity to Deliver - Data Science, ML, AI</t>
  </si>
  <si>
    <t>D.7 Value Add-ons and Innovation  - Data Science, ML, AI</t>
  </si>
  <si>
    <t>Data Integration</t>
  </si>
  <si>
    <t>D. Rated Criteria - Data Integration</t>
  </si>
  <si>
    <t>D.5 Proponent Experience and Qualifications - Data Integration</t>
  </si>
  <si>
    <t>D.6 Capacity to Deliver - Data Integration</t>
  </si>
  <si>
    <t>D.7 Value Add-ons and Innovation - Data Integration</t>
  </si>
  <si>
    <r>
      <t xml:space="preserve">Proponents are evaluated against each of the following scored qualifications for this service category.  Each Proponent is scored based on the extent to which it is determined they meet the requested services outlined in Appendix A, Section B.3 Data Management Support.  Note:
</t>
    </r>
    <r>
      <rPr>
        <i/>
        <sz val="10"/>
        <color rgb="FFFF0000"/>
        <rFont val="Calibri"/>
        <family val="2"/>
        <scheme val="minor"/>
      </rPr>
      <t>▪Proponents are encouraged to select engagements that showcase the breadth in their capabilities.</t>
    </r>
    <r>
      <rPr>
        <i/>
        <sz val="10"/>
        <color rgb="FF000000"/>
        <rFont val="Calibri"/>
        <family val="2"/>
        <scheme val="minor"/>
      </rPr>
      <t xml:space="preserve">
▪Engagements that represent a similar approach / scope as that which is being proposed are desired. </t>
    </r>
  </si>
  <si>
    <r>
      <t xml:space="preserve">Proponents are evaluated against each of the following scored qualifications for this service category.  Each Proponent is scored based on the extent to which it is determined they meet the requested services outlined in Appendix A, Section B.2 Business Transformation.  Note:
</t>
    </r>
    <r>
      <rPr>
        <i/>
        <sz val="10"/>
        <color rgb="FFFF0000"/>
        <rFont val="Calibri"/>
        <family val="2"/>
        <scheme val="minor"/>
      </rPr>
      <t>▪Proponents can respond to section D.5.1, section D.5.2 or both.
▪Proponents are encouraged to select engagements that showcase the breadth in their capabilities.</t>
    </r>
    <r>
      <rPr>
        <i/>
        <sz val="10"/>
        <color rgb="FF000000"/>
        <rFont val="Calibri"/>
        <family val="2"/>
        <scheme val="minor"/>
      </rPr>
      <t xml:space="preserve">
▪Engagements that represent a similar approach / scope as that which is being proposed are desired. </t>
    </r>
  </si>
  <si>
    <r>
      <t xml:space="preserve">Proponents are evaluated against each of the following scored qualifications for this service category.  Each Proponent is scored based on the extent to which it is determined they meet the requested services outlined in Appendix A, Section B.4 Analytics: Reporting and Business Intelligence (BI) Dashboards.  Note:
</t>
    </r>
    <r>
      <rPr>
        <i/>
        <sz val="10"/>
        <color rgb="FFFF0000"/>
        <rFont val="Calibri"/>
        <family val="2"/>
        <scheme val="minor"/>
      </rPr>
      <t>▪Proponents can respond to section D.5.1, section D.5.2 or both.
▪Proponents are encouraged to select engagements that showcase the breadth in their capabilities.</t>
    </r>
    <r>
      <rPr>
        <i/>
        <sz val="10"/>
        <color rgb="FF000000"/>
        <rFont val="Calibri"/>
        <family val="2"/>
        <scheme val="minor"/>
      </rPr>
      <t xml:space="preserve">
▪Engagements that represent a similar approach / scope as that which is being proposed are desired. </t>
    </r>
  </si>
  <si>
    <r>
      <t xml:space="preserve">Proponents are evaluated against each of the following scored qualifications for this service category.  Each Proponent is scored based on the extent to which it is determined they meet the requested services outlined in Appendix A, Section B.5 Advanced Analytics: Data Science, AI/ML .  Note:
</t>
    </r>
    <r>
      <rPr>
        <i/>
        <sz val="10"/>
        <color rgb="FFFF0000"/>
        <rFont val="Calibri"/>
        <family val="2"/>
        <scheme val="minor"/>
      </rPr>
      <t>▪Proponents can respond to section D.5.1, section D.5.2 or both.
▪Proponents are encouraged to select engagements that showcase the breadth in their capabilities.</t>
    </r>
    <r>
      <rPr>
        <i/>
        <sz val="10"/>
        <color rgb="FF000000"/>
        <rFont val="Calibri"/>
        <family val="2"/>
        <scheme val="minor"/>
      </rPr>
      <t xml:space="preserve">
▪Engagements that represent a similar approach / scope as that which is being proposed are desired. </t>
    </r>
  </si>
  <si>
    <r>
      <t xml:space="preserve">Proponents are evaluated against each of the following scored qualifications for this service category.  Each Proponent is scored based on the extent to which it is determined they meet the requested services outlined in Appendix A, Section B.6 Data Integration and Interoperability.  Note:
</t>
    </r>
    <r>
      <rPr>
        <i/>
        <sz val="10"/>
        <color rgb="FFFF0000"/>
        <rFont val="Calibri"/>
        <family val="2"/>
        <scheme val="minor"/>
      </rPr>
      <t>▪Proponents are encouraged to select engagements that showcase the breadth in their capabilities.</t>
    </r>
    <r>
      <rPr>
        <i/>
        <sz val="10"/>
        <color rgb="FF000000"/>
        <rFont val="Calibri"/>
        <family val="2"/>
        <scheme val="minor"/>
      </rPr>
      <t xml:space="preserve">
▪Engagements that represent a similar approach / scope as that which is being proposed are desired. </t>
    </r>
  </si>
  <si>
    <t>The GOS and its Ministry stakeholders are interested in understanding the size of the Proponent's team or practice associated with the services as described in RFSQ Appendix A, Section B.1 Data Governance.  Specifically GOS is interested in your ability to provide these services on an "as required basis" in order to start and complete projects in a timely fashion.  In this context:</t>
  </si>
  <si>
    <t>The GOS and its Ministry stakeholders are interested in understanding the size of the Proponent's team or practice associated with the services as described in RFSQ Appendix A, Section B.2 Business Transformation.  Specifically GOS is interested in your ability to provide these services on an as required basis in order to start and complete projects in a timely fashion.  In this context:</t>
  </si>
  <si>
    <t>The GOS and its Ministry stakeholders are interested in understanding the size of the Proponent's team or practice associated with the services as described in RFSQ B.3 Data Management  Support.  Specifically GOS is interested in your ability to provide these services on an "as required basis" in order to start and complete projects in a timely fashion.  In this context:</t>
  </si>
  <si>
    <t>The GOS and its Ministry stakeholders are interested in understanding the size of the Proponent's team or practice associated with the services as described in RFSQ Appendix A, Section B.4 Analytics: Reporting and Business Intelligence (BI) Dashboards.  Specifically GOS is interested in your ability to provide these services on an "as required basis" in order to start and complete projects in a timely fashion.  In this context:</t>
  </si>
  <si>
    <t>The GOS and its Ministry stakeholders are interested in understanding the size of the Proponent's team or practice associated with the services as described in RFSQ Appendix A, Section B.5 Advanced Analytics: Data science, AI/ML.  Specifically GOS is interested in your ability to provide these services on an "as required basis" in order to start and complete projects in a timely fashion.  In this context:</t>
  </si>
  <si>
    <t>The GOS and its Ministry stakeholders are interested in understanding the size of the Proponent's team or practice associated with the services as described in RFSQ Appendix A, Section B.6 Data Integration and Interoperability.  Specifically GOS is interested in your ability to provide these services on an "as required basis" in order to start and complete projects in a timely fashion.  In this context:</t>
  </si>
  <si>
    <t>D.5.1.1 Provide and describe up to three (3) engagements in which you worked with your clients to establish data governance frameworks and related guidance including activities such as, but not limited to:
▪ Designing an organization's enterprise data management framework of roles, responsibilities and practices, aligned with enterprise strategy and business architecture. 
▪ Guiding and enhancing the development of cross organizational data governance working groups and decision authorities in charge of managing data.  This includes planning, prioritization, and recommendations for specific data management improvement initiatives.
▪ Developing or refining data principles, policy, process/procedures (for legislative or regulatory compliance), rules, standards, and best practices
▪ Establishing practices for the ethical use and management of data.
▪ Establishing data trustees or custodians accountable or responsible for managing data quality, protection, access &amp; sharing, reuse, and lifecycles.
▪ Facilitating or refining data retention, archival, and disposition practices.</t>
  </si>
  <si>
    <t>D.5.1.2 Provide and describe up to three (3) engagements in which you provided data management operational guidance including activities, but not limited to:
▪ Establishing or directing efforts to assess, improve, and implement maintenance controls to ensure data is current, accurate, complete, consistent, unique, and trusted.
▪ Facilitating, establishing and maintaining the core critical shared data within the respective organizations complying with applicable acts and regulations for data privacy and responsible use.
▪ Engaging with the respective organization and IT Security teams for aligning access controls, legislative and regulatory compliance, sensitivity classification, data masking, data encryption, and backup/recovery processes.
▪ Establishing and publishing data catalogues and information used to categorize, classify and describe data repositories.</t>
  </si>
  <si>
    <t>D.6.1.2 Provide a description of your succession plan for the replacement of a team resource(s) if required once the resource is working under a contract with the GOS.  Describe your approach to the assignment of its resources, including how the Proponent proposes to deal with vacation, illness, resignations, reallocation, training and other absences, without impact to service delivery.</t>
  </si>
  <si>
    <t>D.6.1.3 Indicate your ability to provide resources on site in Regina, Saskatchewan and any restrictions or assumptions (including financial) you have in meeting this requirement.</t>
  </si>
  <si>
    <t>D.6.2.2 Provide a description of your succession plan for the replacement of a team resource(s) if required once the resource is working under a contract with the GOS.  Describe your approach to the assignment of its resources, including how the Proponent proposes to deal with vacation, illness, resignations, reallocation, training and other absences, without impact to service delivery.</t>
  </si>
  <si>
    <t>D.6.2.3 Indicate your ability to provide resources on site in Regina, Saskatchewan and any restrictions or assumptions (including financial) you have in meeting this requirement.</t>
  </si>
  <si>
    <t>D.6.3.2 Provide a description of your succession plan for the replacement of a team resource(s) if required once the resource is working under a contract with the GOS.  Describe your approach to the assignment of its resources, including how the Proponent proposes to deal with vacation, illness, resignations, reallocation, training and other absences, without impact to service delivery.</t>
  </si>
  <si>
    <t>D.6.3.3 Indicate your ability to provide resources on site in Regina, Saskatchewan and any restrictions or assumptions (including financial) you have in meeting this requirement.</t>
  </si>
  <si>
    <t>D.6.4.2 Provide a description of your succession plan for the replacement of a team resource(s) if required once the resource is working under a contract with the GOS.  Describe your approach to the assignment of its resources, including how the Proponent proposes to deal with vacation, illness, resignations, reallocation, training and other absences, without impact to service delivery.</t>
  </si>
  <si>
    <t>D.6.4.3 Indicate your ability to provide resources on site in Regina, Saskatchewan and any restrictions or assumptions (including financial) you have in meeting this requirement.</t>
  </si>
  <si>
    <t>D.7.1.1 Describe any creative alternatives, opportunities, or innovations that may be beneficial which, if considered by GOS, would enhance the services that can be provided.</t>
  </si>
  <si>
    <t>D.7.1.2 Describe any templates, practices, methodologies that would be provided to streamline the delivery of services (this may include your own intellectual property).</t>
  </si>
  <si>
    <t>D.5.2.1 Provide and describe up to three (3) engagements in which you worked with your clients to establish data strategies, investment roadmaps and/or business cases including activities such as, but not limited to:
• Facilitating the development of innovative data strategies for current vs. future direction for managing data, and strategic roadmaps that drive effectiveness and deliver against the goals of Government of Saskatchewan.
• Developing business cases and funding requests, based on experience and supplier’s success stories, that identify business value opportunities within each Ministry data domain that improves their data management practices, and supports cross Ministry data sharing. 
• Performing data maturity assessments of current (‘as-is’) state capabilities with managing data assets, and to specify the desired (‘to-be’) states that facilitate continuous improvement towards required levels of data management and analytics capabilities. 
• Perform tactical planning to develop and maintain phased roadmaps of sequenced activities with dependencies and relationships.</t>
  </si>
  <si>
    <t>D.5.2.2 Provide and describe up to three (3) engagements in which you worked with your clients to establish data culture and organizational change including activities such as, but not limited to:
• Performing change management using concerted and collaborative efforts to achieve maturing data management practices.  This includes establishing change management strategies, plans, educational materials and facilitating change across the Government of Saskatchewan.
• Assisting in increasing the maturity of current data cultures and data literacy, ensuring the respective organization is using data to derive insights for decision-making, and not relying solely on intuition or experience.</t>
  </si>
  <si>
    <t>D.7.2.1 Any creative alternatives, opportunities, or innovations that may be beneficial which, if considered by GOS, would enhance the services that can be provided.</t>
  </si>
  <si>
    <t>D.7.2.2 Describe any templates, practices, methodologies that would be provided to streamline the delivery of services (this may include your own intellectual property).</t>
  </si>
  <si>
    <t xml:space="preserve">D.5.3.1 Provide and describe up to three (3) engagements in which you worked with your clients in designing and documenting data solutions including activities such as, but not limited to:
▪ Developing an inventory of data assets by data domain (subject) and increase overall data literacy and awareness.
▪ Establishing documentation of architecture models, data assets and catalogs, attributes (such as sensitivity classifications), business glossaries, data dictionaries, information flows and data lineages.
▪ Providing expertise to introduce future state designs for modern conceptual/logical architectures for datB.  This may include using traditional and/or emerging patterns and models such as:
         Data products
         Data as a Product (DaaP)
         Data pipelines
         Data fabrics
         Data meshs, etc. </t>
  </si>
  <si>
    <t>D.7.3.1 Any creative alternatives, opportunities, or innovations that may be beneficial which, if considered by GOS, would enhance the services that can be provided.</t>
  </si>
  <si>
    <t>D.7.3.2 Describe any templates, practices, methodologies that would be provided to streamline the delivery of services (this may include your own intellectual property).</t>
  </si>
  <si>
    <t xml:space="preserve">D.5.4.1 Provide and describe up to three (3) engagements in which you worked with your clients in designing and implementing "Descriptive Analytics" (to describe the current situation and identify trends and patterns focused on "what" has happened).  This includes activities such as, but not limited to:
▪ Providing expertise, guidance and knowledge transfer to the business in the use of descriptive analytics techniques
▪ Providing solution designs and implementation plans
▪ Implementing descriptive analytics solutions
▪ Facilitating data preparation activities such as collection/capture/creation, discovery, combining, structuring, organizing, enriching, profiling, transforming, consolidating, and curating data in support of the analytics objectives. </t>
  </si>
  <si>
    <t xml:space="preserve">D.5.4.2 Provide and describe up to three (3) engagements in which you worked with your clients in designing and implementing "Diagnostic Analytics" (using historical data to discover the reasons for previous performance, focused on why things happened).  This includes activities such as, but not limited to:
▪ Providing expertise, guidance and knowledge transfer to the business in the use of diagnostic analytics techniques  
▪ Providing solution designs and implementation plans
▪ Implementing diagnostic analytics solutions
▪ Facilitating data preparation activities such as collection/capture/creation, discovery, combining, structuring, organizing, enriching, profiling, transforming, consolidating, and curating data in support of the analytics objectives. </t>
  </si>
  <si>
    <t>D.7.4.1 Any creative alternatives, opportunities, or innovations that may be beneficial which, if considered by GOS, would enhance the services that can be provided.</t>
  </si>
  <si>
    <t>D.7.4.2 Describe any templates, practices, methodologies that would be provided to streamline the delivery of services (this may include your own intellectual property).</t>
  </si>
  <si>
    <t xml:space="preserve">D.5.5.1 Provide and describe up to three (3) engagements in which you worked with your clients in designing and implementing "Predictive Analytics" (using a variety of methods, such as forecasting, statistical modeling, analytical modeling, cognitive analysis, sentiment analysis and machine learning). This includes activities such as, but not limited to:
▪ Providing expertise, guidance and knowledge transfer to the business in the use of predictive analytics techniques
▪ Providing solution designs and implementation plans
▪ Implementing descriptive analytics solutions
▪ Facilitating data preparation activities such as collection/capture/creation, discovery, combining, structuring, organizing, enriching, profiling, transforming, consolidating, and curating data in support of the analytics objectives. </t>
  </si>
  <si>
    <t xml:space="preserve">D.5.5.2 Provide and describe up to three (3) engagements in which you worked with your clients in designing and implementing "Prescriptive Analytics" (using artificial intelligence, machine learning, algorithms, and business rules). This includes activities such as, but not limited to:
▪ Providing expertise, guidance and knowledge transfer to the business in the use of prescriptive analytics techniques
▪ Providing solution designs and implementation plans
▪ Implementing descriptive analytics solutions
▪ Facilitating data preparation activities such as collection/capture/creation, discovery, combining, structuring, organizing, enriching, profiling, transforming, consolidating, and curating data in support of the analytics objectives. </t>
  </si>
  <si>
    <t>D.6.5.2 Provide a description of your succession plan for the replacement of a team resource(s) if required once the resource is working under a contract with the GOS.  Describe your approach to the assignment of its resources, including how the Proponent proposes to deal with vacation, illness, resignations, reallocation, training and other absences, without impact to service delivery.</t>
  </si>
  <si>
    <t>D.6.5.3 Indicate your ability to provide resources on site in Regina, Saskatchewan and any restrictions or assumptions (including financial) you have in meeting this requirement.</t>
  </si>
  <si>
    <t>D.7.5.1 Any creative alternatives, opportunities, or innovations that may be beneficial which, if considered by GOS, would enhance the services that can be provided.</t>
  </si>
  <si>
    <t>D.7.5.2 Describe any templates, practices, methodologies that would be provided to streamline the delivery of services (this may include your own intellectual property).</t>
  </si>
  <si>
    <t xml:space="preserve">D.5.6.1 Provide and describe up to three (3) engagements in which you worked with your clients in designing and implementing "Data Integration" solutions including activities such as, but not limited to:
▪ Providing expertise, guidance and knowledge transfer to the business in data integration techniques
▪ Introducing modern conceptual/logical architecture designs for data (current vs. future architectures patterns or models, such as data products (or DaaP), data pipelines, data fabric, data mesh, data hubs, etc.)
▪ Planning and designing data integration and interoperability requirements.
▪ Providing solution designs and implementation plans
▪ Implementing integration solutions, including support for the Extract, Transform, Load (ETL) processes.
▪ Facilitating data preparation activities such as collection/capture/creation, discovery, combining, structuring, organizing, enriching, profiling, transforming, consolidating, and curating data in support of the analytics objectives. </t>
  </si>
  <si>
    <t>D.6.6.2 Provide a description of your succession plan for the replacement of a team resource(s) if required once the resource is working under a contract with the GOS.  Describe your approach to the assignment of its resources, including how the Proponent proposes to deal with vacation, illness, resignations, reallocation, training and other absences, without impact to service delivery.</t>
  </si>
  <si>
    <t>D.6.6.3 Indicate your ability to provide resources on site in Regina, Saskatchewan and any restrictions or assumptions (including financial) you have in meeting this requirement.</t>
  </si>
  <si>
    <t>D.7.6.1 Any creative alternatives, opportunities, or innovations that may be beneficial which, if considered by GOS, would enhance the services that can be provided.</t>
  </si>
  <si>
    <t>D.7.6.2 Describe any templates, practices, methodologies that would be provided to streamline the delivery of services (this may include your own intellectual property).</t>
  </si>
  <si>
    <t>D.6.1.1 Provide a description of how your organization is able to respond to short term governance engagements (1-3 months in duration), and longer term engagements (more than months). Highlight your processes and lead times required.  Describe your approach to building and maintaining skilled resources for these services.</t>
  </si>
  <si>
    <t>D.6.2.1 Provide a description of how your organization is able to respond to short term business transformation engagements (1-3 months in duration), and longer term engagements (more than months). Highlight your processes and lead times required.  Describe your approach to building and maintaining skilled resources for these services.</t>
  </si>
  <si>
    <t>D.6.3.1 Provide a description of how your organization is able to respond to short term data support engagements (1-3 months in duration), and longer term engagements (more than months). Highlight your processes and lead times required.  Describe your approach to building and maintaining skilled resources for these services.</t>
  </si>
  <si>
    <t>D.6.4.1 Provide a description of how your organization is able to respond to short term data reporting and dashboards engagements (1-3 months in duration), and longer term engagements (more than months). Highlight your processes and lead times required.  Describe your approach to building and maintaining skilled resources for these services.</t>
  </si>
  <si>
    <t>D.6.5.1 Provide a description of how your organization is able to respond to short term engagements (1-3 months in duration), and longer term engagements (more than months). Highlight your processes and lead times required.  Describe your approach to building and maintaining skilled resources for these services.</t>
  </si>
  <si>
    <t>D.6.6.1 Provide a description of how your organization is able to respond to short term engagements (1-3 months in duration), and longer term engagements (more than months). Highlight your processes and lead times required.  Describe your approach to building and maintaining skilled resources for these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</si>
</sst>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sz val="10"/>
      <color rgb="FF000000"/>
      <name val="Calibri"/>
      <family val="2"/>
      <scheme val="minor"/>
    </font>
    <font>
      <b/>
      <sz val="10"/>
      <color rgb="FF000000"/>
      <name val="Calibri"/>
      <family val="2"/>
      <scheme val="minor"/>
    </font>
    <font>
      <b/>
      <sz val="12"/>
      <color rgb="FFFFFFFF"/>
      <name val="Calibri"/>
      <family val="2"/>
      <scheme val="minor"/>
    </font>
    <font>
      <i/>
      <sz val="10"/>
      <color rgb="FF000000"/>
      <name val="Calibri"/>
      <family val="2"/>
      <scheme val="minor"/>
    </font>
    <font>
      <i/>
      <sz val="10"/>
      <color rgb="FF000000"/>
      <name val="Calibri"/>
      <family val="2"/>
    </font>
    <font>
      <b/>
      <sz val="14"/>
      <color rgb="FFFF0000"/>
      <name val="Calibri"/>
      <family val="2"/>
      <scheme val="minor"/>
    </font>
    <font>
      <sz val="11"/>
      <color rgb="FFFF0000"/>
      <name val="Calibri"/>
      <family val="2"/>
      <scheme val="minor"/>
    </font>
    <font>
      <i/>
      <sz val="10"/>
      <color rgb="FF000000"/>
      <name val="Calibri"/>
      <family val="2"/>
    </font>
    <font>
      <sz val="10"/>
      <color rgb="FFFF0000"/>
      <name val="Arial"/>
      <family val="2"/>
    </font>
    <font>
      <i/>
      <sz val="10"/>
      <color rgb="FFFF0000"/>
      <name val="Calibri"/>
      <family val="2"/>
    </font>
    <font>
      <i/>
      <sz val="10"/>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00643C"/>
        <bgColor indexed="64"/>
      </patternFill>
    </fill>
    <fill>
      <patternFill patternType="solid">
        <fgColor rgb="FFEAF1DD"/>
        <bgColor indexed="64"/>
      </patternFill>
    </fill>
  </fills>
  <borders count="10">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2" fillId="0" borderId="0" xfId="0" applyFont="1" applyAlignment="1">
      <alignment vertical="center"/>
    </xf>
    <xf numFmtId="0" fontId="4" fillId="0" borderId="0" xfId="0" applyFont="1" applyAlignment="1">
      <alignment horizontal="left" vertical="center" wrapText="1"/>
    </xf>
    <xf numFmtId="0" fontId="3" fillId="0" borderId="0" xfId="0" applyFont="1" applyAlignment="1">
      <alignment vertical="center" wrapText="1"/>
    </xf>
    <xf numFmtId="0" fontId="5" fillId="0" borderId="0" xfId="0" applyFont="1" applyAlignment="1">
      <alignment vertical="center"/>
    </xf>
    <xf numFmtId="0" fontId="3" fillId="0" borderId="0" xfId="0" applyFont="1"/>
    <xf numFmtId="0" fontId="4" fillId="3" borderId="9" xfId="0" applyFont="1" applyFill="1" applyBorder="1" applyAlignment="1">
      <alignment vertical="center" wrapText="1"/>
    </xf>
    <xf numFmtId="0" fontId="3" fillId="0" borderId="9" xfId="0" applyFont="1" applyBorder="1" applyAlignment="1">
      <alignment vertical="center" wrapText="1"/>
    </xf>
    <xf numFmtId="0" fontId="4" fillId="0" borderId="9" xfId="0" applyFont="1" applyBorder="1" applyAlignment="1">
      <alignment vertical="center" wrapText="1"/>
    </xf>
    <xf numFmtId="0" fontId="1" fillId="0" borderId="1" xfId="0" applyFont="1" applyBorder="1" applyAlignment="1">
      <alignment vertical="center" wrapText="1"/>
    </xf>
    <xf numFmtId="0" fontId="0" fillId="0" borderId="0" xfId="0" applyAlignment="1">
      <alignment horizontal="center" vertical="center" wrapText="1"/>
    </xf>
    <xf numFmtId="0" fontId="0" fillId="0" borderId="0" xfId="0" applyAlignment="1">
      <alignment vertical="top"/>
    </xf>
    <xf numFmtId="0" fontId="3" fillId="0" borderId="0" xfId="0" applyFont="1" applyAlignment="1">
      <alignment horizontal="center" vertical="top"/>
    </xf>
    <xf numFmtId="0" fontId="0" fillId="0" borderId="0" xfId="0" applyAlignment="1">
      <alignment horizontal="left" vertical="center" indent="5"/>
    </xf>
    <xf numFmtId="0" fontId="4" fillId="0" borderId="0" xfId="0" applyFont="1" applyAlignment="1">
      <alignment horizontal="left" vertical="top" wrapText="1"/>
    </xf>
    <xf numFmtId="0" fontId="3" fillId="0" borderId="0" xfId="0" applyFont="1" applyAlignment="1">
      <alignment vertical="top" wrapText="1"/>
    </xf>
    <xf numFmtId="0" fontId="2"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4" fillId="3" borderId="9" xfId="0" applyFont="1" applyFill="1" applyBorder="1" applyAlignment="1">
      <alignment vertical="top" wrapText="1"/>
    </xf>
    <xf numFmtId="0" fontId="3" fillId="0" borderId="9" xfId="0" applyFont="1" applyBorder="1" applyAlignment="1">
      <alignment vertical="top" wrapText="1"/>
    </xf>
    <xf numFmtId="0" fontId="4" fillId="0" borderId="9" xfId="0" applyFont="1" applyBorder="1" applyAlignment="1">
      <alignment vertical="top" wrapText="1"/>
    </xf>
    <xf numFmtId="0" fontId="1" fillId="0" borderId="1" xfId="0" applyFont="1" applyBorder="1" applyAlignment="1">
      <alignment vertical="top" wrapText="1"/>
    </xf>
    <xf numFmtId="0" fontId="0" fillId="0" borderId="0" xfId="0" applyAlignment="1">
      <alignment horizontal="center" vertical="top" wrapText="1"/>
    </xf>
    <xf numFmtId="0" fontId="11" fillId="0" borderId="0" xfId="0" applyFont="1" applyAlignment="1">
      <alignment vertical="top"/>
    </xf>
    <xf numFmtId="0" fontId="2" fillId="0" borderId="0" xfId="0" applyFont="1" applyAlignment="1" applyProtection="1">
      <alignment horizontal="left" vertical="top" wrapText="1"/>
      <protection locked="0"/>
    </xf>
    <xf numFmtId="0" fontId="0" fillId="0" borderId="0" xfId="0" applyAlignment="1">
      <alignment horizontal="left" vertical="top" wrapText="1"/>
    </xf>
    <xf numFmtId="0" fontId="1" fillId="2" borderId="0" xfId="0" applyFont="1" applyFill="1" applyAlignment="1">
      <alignment horizontal="center" vertical="top" wrapText="1"/>
    </xf>
    <xf numFmtId="0" fontId="1" fillId="2" borderId="0" xfId="0" applyFont="1" applyFill="1" applyAlignment="1">
      <alignment horizontal="center" vertical="top"/>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6" fillId="3" borderId="9" xfId="0" applyFont="1" applyFill="1" applyBorder="1" applyAlignment="1">
      <alignment horizontal="center" vertical="top" wrapText="1"/>
    </xf>
    <xf numFmtId="0" fontId="7" fillId="4" borderId="5" xfId="0" applyFont="1" applyFill="1" applyBorder="1" applyAlignment="1">
      <alignment horizontal="left" vertical="top" wrapText="1"/>
    </xf>
    <xf numFmtId="0" fontId="4" fillId="0" borderId="9" xfId="0" applyFont="1" applyBorder="1" applyAlignment="1">
      <alignment horizontal="center" vertical="top" wrapText="1"/>
    </xf>
    <xf numFmtId="0" fontId="3" fillId="0" borderId="9" xfId="0" applyFont="1" applyBorder="1" applyAlignment="1">
      <alignment horizontal="center" vertical="top" wrapText="1"/>
    </xf>
    <xf numFmtId="0" fontId="0" fillId="0" borderId="1" xfId="0" applyBorder="1" applyAlignment="1">
      <alignment horizontal="left" vertical="top" wrapText="1"/>
    </xf>
    <xf numFmtId="0" fontId="8" fillId="5" borderId="9" xfId="0" applyFont="1" applyFill="1" applyBorder="1" applyAlignment="1">
      <alignment horizontal="left" vertical="top" wrapText="1"/>
    </xf>
    <xf numFmtId="0" fontId="0" fillId="0" borderId="0" xfId="0" applyAlignment="1">
      <alignment horizontal="left" vertical="top" wrapText="1"/>
    </xf>
    <xf numFmtId="0" fontId="12" fillId="5" borderId="9"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7" fillId="4" borderId="4" xfId="0" applyFont="1" applyFill="1" applyBorder="1" applyAlignment="1">
      <alignment horizontal="left" vertical="top" wrapText="1"/>
    </xf>
    <xf numFmtId="0" fontId="8" fillId="5" borderId="6" xfId="0" applyFont="1" applyFill="1" applyBorder="1" applyAlignment="1">
      <alignment horizontal="left" vertical="top" wrapText="1"/>
    </xf>
    <xf numFmtId="0" fontId="8" fillId="5" borderId="7" xfId="0" applyFont="1" applyFill="1" applyBorder="1" applyAlignment="1">
      <alignment horizontal="left" vertical="top" wrapText="1"/>
    </xf>
    <xf numFmtId="0" fontId="8" fillId="5" borderId="8" xfId="0" applyFont="1" applyFill="1" applyBorder="1" applyAlignment="1">
      <alignment horizontal="left" vertical="top" wrapText="1"/>
    </xf>
    <xf numFmtId="0" fontId="3" fillId="0" borderId="0" xfId="0" applyFont="1" applyAlignment="1" applyProtection="1">
      <alignment horizontal="center" vertical="top" wrapText="1"/>
      <protection locked="0"/>
    </xf>
    <xf numFmtId="0" fontId="4" fillId="0" borderId="9" xfId="0" applyFont="1" applyBorder="1" applyAlignment="1">
      <alignment horizontal="center" vertical="center" wrapText="1"/>
    </xf>
    <xf numFmtId="0" fontId="1" fillId="2" borderId="0" xfId="0" applyFont="1" applyFill="1" applyAlignment="1">
      <alignment horizontal="center" wrapText="1"/>
    </xf>
    <xf numFmtId="0" fontId="1" fillId="2" borderId="0" xfId="0" applyFont="1" applyFill="1" applyAlignment="1">
      <alignment horizontal="center"/>
    </xf>
    <xf numFmtId="0" fontId="3" fillId="0" borderId="9" xfId="0" applyFont="1" applyBorder="1" applyAlignment="1">
      <alignment horizontal="center" vertical="center" wrapText="1"/>
    </xf>
    <xf numFmtId="0" fontId="6" fillId="3" borderId="9"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7" fillId="4" borderId="5" xfId="0" applyFont="1" applyFill="1" applyBorder="1" applyAlignment="1">
      <alignment horizontal="left" vertical="center" wrapText="1"/>
    </xf>
    <xf numFmtId="0" fontId="8" fillId="5" borderId="9" xfId="0" applyFont="1" applyFill="1" applyBorder="1" applyAlignment="1">
      <alignment horizontal="left" vertical="center" wrapText="1"/>
    </xf>
    <xf numFmtId="0" fontId="3" fillId="0" borderId="0" xfId="0" applyFont="1" applyAlignment="1" applyProtection="1">
      <alignment horizontal="center" wrapText="1"/>
      <protection locked="0"/>
    </xf>
  </cellXfs>
  <cellStyles count="1">
    <cellStyle name="Normal" xfId="0" builtinId="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B3B6-01AA-44EE-BFF7-95222280C189}">
  <dimension ref="B1:L32"/>
  <sheetViews>
    <sheetView zoomScale="90" zoomScaleNormal="90" workbookViewId="0">
      <selection activeCell="C10" sqref="C10:E10"/>
    </sheetView>
  </sheetViews>
  <sheetFormatPr defaultColWidth="9.140625" defaultRowHeight="14.45" customHeight="1" x14ac:dyDescent="0.25"/>
  <cols>
    <col min="1" max="1" width="2.5703125" style="11" customWidth="1"/>
    <col min="2" max="2" width="62.85546875" style="11" customWidth="1"/>
    <col min="3" max="10" width="9.140625" style="11"/>
    <col min="11" max="11" width="8.7109375" style="11" customWidth="1"/>
    <col min="12" max="16384" width="9.140625" style="11"/>
  </cols>
  <sheetData>
    <row r="1" spans="2:11" ht="42.75" customHeight="1" x14ac:dyDescent="0.25">
      <c r="B1" s="27" t="s">
        <v>4</v>
      </c>
      <c r="C1" s="28"/>
      <c r="D1" s="28"/>
      <c r="E1" s="28"/>
      <c r="F1" s="28"/>
      <c r="G1" s="28"/>
      <c r="H1" s="28"/>
      <c r="I1" s="28"/>
      <c r="J1" s="28"/>
      <c r="K1" s="28"/>
    </row>
    <row r="2" spans="2:11" ht="14.45" customHeight="1" x14ac:dyDescent="0.25">
      <c r="B2" s="14"/>
      <c r="C2" s="14"/>
      <c r="D2" s="14"/>
      <c r="E2" s="14"/>
      <c r="F2" s="14"/>
      <c r="G2" s="15"/>
      <c r="H2" s="15"/>
      <c r="I2" s="15"/>
    </row>
    <row r="3" spans="2:11" ht="23.25" customHeight="1" x14ac:dyDescent="0.25">
      <c r="B3" s="16" t="s">
        <v>27</v>
      </c>
      <c r="C3" s="14"/>
      <c r="D3" s="14"/>
      <c r="E3" s="14"/>
      <c r="F3" s="14"/>
      <c r="G3" s="15"/>
      <c r="H3" s="15"/>
      <c r="I3" s="15"/>
    </row>
    <row r="4" spans="2:11" ht="19.5" customHeight="1" x14ac:dyDescent="0.25">
      <c r="B4" s="16" t="s">
        <v>11</v>
      </c>
    </row>
    <row r="5" spans="2:11" ht="14.45" customHeight="1" x14ac:dyDescent="0.25">
      <c r="B5" s="17" t="s">
        <v>0</v>
      </c>
      <c r="C5" s="18"/>
      <c r="D5" s="18"/>
      <c r="E5" s="18"/>
    </row>
    <row r="6" spans="2:11" ht="14.45" customHeight="1" x14ac:dyDescent="0.25">
      <c r="B6" s="19" t="s">
        <v>1</v>
      </c>
      <c r="C6" s="32" t="s">
        <v>2</v>
      </c>
      <c r="D6" s="32"/>
      <c r="E6" s="32"/>
    </row>
    <row r="7" spans="2:11" ht="14.45" customHeight="1" x14ac:dyDescent="0.25">
      <c r="B7" s="20" t="s">
        <v>8</v>
      </c>
      <c r="C7" s="29">
        <v>30</v>
      </c>
      <c r="D7" s="30"/>
      <c r="E7" s="31"/>
    </row>
    <row r="8" spans="2:11" ht="14.45" customHeight="1" x14ac:dyDescent="0.25">
      <c r="B8" s="20" t="s">
        <v>9</v>
      </c>
      <c r="C8" s="29">
        <v>15</v>
      </c>
      <c r="D8" s="30"/>
      <c r="E8" s="31"/>
    </row>
    <row r="9" spans="2:11" ht="15" customHeight="1" x14ac:dyDescent="0.25">
      <c r="B9" s="20" t="s">
        <v>10</v>
      </c>
      <c r="C9" s="29">
        <v>10</v>
      </c>
      <c r="D9" s="30"/>
      <c r="E9" s="31"/>
    </row>
    <row r="10" spans="2:11" ht="14.45" customHeight="1" x14ac:dyDescent="0.25">
      <c r="B10" s="20"/>
      <c r="C10" s="35"/>
      <c r="D10" s="35"/>
      <c r="E10" s="35"/>
    </row>
    <row r="11" spans="2:11" ht="14.45" customHeight="1" x14ac:dyDescent="0.25">
      <c r="B11" s="21" t="s">
        <v>3</v>
      </c>
      <c r="C11" s="34">
        <f>SUM(C7:C10)</f>
        <v>55</v>
      </c>
      <c r="D11" s="34"/>
      <c r="E11" s="34"/>
    </row>
    <row r="12" spans="2:11" ht="14.45" customHeight="1" x14ac:dyDescent="0.25">
      <c r="B12" s="22"/>
      <c r="C12" s="23"/>
      <c r="D12" s="23"/>
      <c r="E12" s="23"/>
    </row>
    <row r="13" spans="2:11" ht="14.45" customHeight="1" x14ac:dyDescent="0.25">
      <c r="B13" s="33" t="str">
        <f>CONCATENATE(B7," (",C7," points)")</f>
        <v>D.5 Proponent Experience and Qualifications - Data Governance (30 points)</v>
      </c>
      <c r="C13" s="33"/>
      <c r="D13" s="33"/>
      <c r="E13" s="33"/>
      <c r="F13" s="33"/>
      <c r="G13" s="33"/>
      <c r="H13" s="33"/>
      <c r="I13" s="33"/>
      <c r="J13" s="33"/>
      <c r="K13" s="33"/>
    </row>
    <row r="14" spans="2:11" ht="70.5" customHeight="1" x14ac:dyDescent="0.25">
      <c r="B14" s="39" t="s">
        <v>7</v>
      </c>
      <c r="C14" s="37"/>
      <c r="D14" s="37"/>
      <c r="E14" s="37"/>
      <c r="F14" s="37"/>
      <c r="G14" s="37"/>
      <c r="H14" s="37"/>
      <c r="I14" s="37"/>
      <c r="J14" s="37"/>
      <c r="K14" s="37"/>
    </row>
    <row r="15" spans="2:11" ht="106.5" customHeight="1" x14ac:dyDescent="0.25">
      <c r="B15" s="37" t="s">
        <v>6</v>
      </c>
      <c r="C15" s="37"/>
      <c r="D15" s="37"/>
      <c r="E15" s="37"/>
      <c r="F15" s="37"/>
      <c r="G15" s="37"/>
      <c r="H15" s="37"/>
      <c r="I15" s="37"/>
      <c r="J15" s="37"/>
      <c r="K15" s="37"/>
    </row>
    <row r="16" spans="2:11" ht="157.5" customHeight="1" x14ac:dyDescent="0.25">
      <c r="B16" s="36" t="s">
        <v>49</v>
      </c>
      <c r="C16" s="36"/>
      <c r="D16" s="36"/>
      <c r="E16" s="36"/>
      <c r="F16" s="36"/>
      <c r="G16" s="36"/>
      <c r="H16" s="36"/>
      <c r="I16" s="36"/>
      <c r="J16" s="36"/>
      <c r="K16" s="36"/>
    </row>
    <row r="17" spans="2:12" ht="14.45" customHeight="1" x14ac:dyDescent="0.25">
      <c r="B17" s="12"/>
      <c r="C17" s="12"/>
      <c r="D17" s="12"/>
      <c r="E17" s="12"/>
      <c r="F17" s="12"/>
      <c r="G17" s="12"/>
      <c r="H17" s="12"/>
      <c r="I17" s="12"/>
      <c r="J17" s="12"/>
      <c r="K17" s="12"/>
    </row>
    <row r="18" spans="2:12" ht="142.5" customHeight="1" x14ac:dyDescent="0.25">
      <c r="B18" s="36" t="s">
        <v>50</v>
      </c>
      <c r="C18" s="36"/>
      <c r="D18" s="36"/>
      <c r="E18" s="36"/>
      <c r="F18" s="36"/>
      <c r="G18" s="36"/>
      <c r="H18" s="36"/>
      <c r="I18" s="36"/>
      <c r="J18" s="36"/>
      <c r="K18" s="36"/>
      <c r="L18" s="24"/>
    </row>
    <row r="20" spans="2:12" ht="14.45" customHeight="1" x14ac:dyDescent="0.25">
      <c r="B20" s="33" t="str">
        <f>CONCATENATE(B8," (",C8," points)")</f>
        <v>D.6 Capacity to Deliver - Data Governance (15 points)</v>
      </c>
      <c r="C20" s="33"/>
      <c r="D20" s="33"/>
      <c r="E20" s="33"/>
      <c r="F20" s="33"/>
      <c r="G20" s="33"/>
      <c r="H20" s="33"/>
      <c r="I20" s="33"/>
      <c r="J20" s="33"/>
      <c r="K20" s="33"/>
    </row>
    <row r="21" spans="2:12" ht="43.5" customHeight="1" x14ac:dyDescent="0.25">
      <c r="B21" s="37" t="s">
        <v>43</v>
      </c>
      <c r="C21" s="37"/>
      <c r="D21" s="37"/>
      <c r="E21" s="37"/>
      <c r="F21" s="37"/>
      <c r="G21" s="37"/>
      <c r="H21" s="37"/>
      <c r="I21" s="37"/>
      <c r="J21" s="37"/>
      <c r="K21" s="37"/>
    </row>
    <row r="22" spans="2:12" ht="43.5" customHeight="1" x14ac:dyDescent="0.25">
      <c r="B22" s="36" t="s">
        <v>83</v>
      </c>
      <c r="C22" s="36"/>
      <c r="D22" s="36"/>
      <c r="E22" s="36"/>
      <c r="F22" s="36"/>
      <c r="G22" s="36"/>
      <c r="H22" s="36"/>
      <c r="I22" s="36"/>
      <c r="J22" s="36"/>
      <c r="K22" s="36"/>
    </row>
    <row r="24" spans="2:12" ht="43.5" customHeight="1" x14ac:dyDescent="0.25">
      <c r="B24" s="38" t="s">
        <v>51</v>
      </c>
      <c r="C24" s="38"/>
      <c r="D24" s="38"/>
      <c r="E24" s="38"/>
      <c r="F24" s="38"/>
      <c r="G24" s="38"/>
      <c r="H24" s="38"/>
      <c r="I24" s="38"/>
      <c r="J24" s="38"/>
      <c r="K24" s="38"/>
    </row>
    <row r="26" spans="2:12" ht="43.5" customHeight="1" x14ac:dyDescent="0.25">
      <c r="B26" s="38" t="s">
        <v>52</v>
      </c>
      <c r="C26" s="38"/>
      <c r="D26" s="38"/>
      <c r="E26" s="38"/>
      <c r="F26" s="38"/>
      <c r="G26" s="38"/>
      <c r="H26" s="38"/>
      <c r="I26" s="38"/>
      <c r="J26" s="38"/>
      <c r="K26" s="38"/>
    </row>
    <row r="28" spans="2:12" ht="14.45" customHeight="1" x14ac:dyDescent="0.25">
      <c r="B28" s="33" t="str">
        <f>CONCATENATE(B9," (",C9," points)")</f>
        <v>D.7 Value Add-ons and Innovation - Data Governance (10 points)</v>
      </c>
      <c r="C28" s="33"/>
      <c r="D28" s="33"/>
      <c r="E28" s="33"/>
      <c r="F28" s="33"/>
      <c r="G28" s="33"/>
      <c r="H28" s="33"/>
      <c r="I28" s="33"/>
      <c r="J28" s="33"/>
      <c r="K28" s="33"/>
    </row>
    <row r="29" spans="2:12" ht="15.75" customHeight="1" x14ac:dyDescent="0.25">
      <c r="B29" s="37" t="s">
        <v>5</v>
      </c>
      <c r="C29" s="37"/>
      <c r="D29" s="37"/>
      <c r="E29" s="37"/>
      <c r="F29" s="37"/>
      <c r="G29" s="37"/>
      <c r="H29" s="37"/>
      <c r="I29" s="37"/>
      <c r="J29" s="37"/>
      <c r="K29" s="37"/>
    </row>
    <row r="30" spans="2:12" ht="29.1" customHeight="1" x14ac:dyDescent="0.25">
      <c r="B30" s="36" t="s">
        <v>59</v>
      </c>
      <c r="C30" s="36"/>
      <c r="D30" s="36"/>
      <c r="E30" s="36"/>
      <c r="F30" s="36"/>
      <c r="G30" s="36"/>
      <c r="H30" s="36"/>
      <c r="I30" s="36"/>
      <c r="J30" s="36"/>
      <c r="K30" s="36"/>
    </row>
    <row r="32" spans="2:12" ht="29.1" customHeight="1" x14ac:dyDescent="0.25">
      <c r="B32" s="36" t="s">
        <v>60</v>
      </c>
      <c r="C32" s="36"/>
      <c r="D32" s="36"/>
      <c r="E32" s="36"/>
      <c r="F32" s="36"/>
      <c r="G32" s="36"/>
      <c r="H32" s="36"/>
      <c r="I32" s="36"/>
      <c r="J32" s="36"/>
      <c r="K32" s="36"/>
    </row>
  </sheetData>
  <mergeCells count="21">
    <mergeCell ref="B14:K14"/>
    <mergeCell ref="B16:K16"/>
    <mergeCell ref="B15:K15"/>
    <mergeCell ref="B18:K18"/>
    <mergeCell ref="B30:K30"/>
    <mergeCell ref="B32:K32"/>
    <mergeCell ref="B20:K20"/>
    <mergeCell ref="B21:K21"/>
    <mergeCell ref="B28:K28"/>
    <mergeCell ref="B29:K29"/>
    <mergeCell ref="B22:K22"/>
    <mergeCell ref="B24:K24"/>
    <mergeCell ref="B26:K26"/>
    <mergeCell ref="B1:K1"/>
    <mergeCell ref="C7:E7"/>
    <mergeCell ref="C6:E6"/>
    <mergeCell ref="B13:K13"/>
    <mergeCell ref="C8:E8"/>
    <mergeCell ref="C9:E9"/>
    <mergeCell ref="C11:E11"/>
    <mergeCell ref="C10:E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CA7D-16C6-4121-8E5F-DD6CF14ECBE2}">
  <dimension ref="B1:K32"/>
  <sheetViews>
    <sheetView topLeftCell="A15" zoomScale="120" zoomScaleNormal="120" workbookViewId="0">
      <selection activeCell="C10" sqref="C10:E10"/>
    </sheetView>
  </sheetViews>
  <sheetFormatPr defaultColWidth="9.140625" defaultRowHeight="14.45" customHeight="1" x14ac:dyDescent="0.25"/>
  <cols>
    <col min="1" max="1" width="2.5703125" style="11" customWidth="1"/>
    <col min="2" max="2" width="63" style="11" customWidth="1"/>
    <col min="3" max="10" width="9.140625" style="11"/>
    <col min="11" max="11" width="8.7109375" style="11" customWidth="1"/>
    <col min="12" max="16384" width="9.140625" style="11"/>
  </cols>
  <sheetData>
    <row r="1" spans="2:11" ht="30" customHeight="1" x14ac:dyDescent="0.25">
      <c r="B1" s="27" t="s">
        <v>4</v>
      </c>
      <c r="C1" s="27"/>
      <c r="D1" s="27"/>
      <c r="E1" s="27"/>
      <c r="F1" s="27"/>
      <c r="G1" s="27"/>
      <c r="H1" s="27"/>
      <c r="I1" s="27"/>
      <c r="J1" s="27"/>
      <c r="K1" s="27"/>
    </row>
    <row r="2" spans="2:11" ht="14.45" customHeight="1" x14ac:dyDescent="0.25">
      <c r="B2" s="14"/>
      <c r="C2" s="14"/>
      <c r="D2" s="14"/>
      <c r="E2" s="14"/>
      <c r="F2" s="14"/>
      <c r="G2" s="15"/>
      <c r="H2" s="15"/>
      <c r="I2" s="15"/>
    </row>
    <row r="3" spans="2:11" ht="21" customHeight="1" x14ac:dyDescent="0.25">
      <c r="B3" s="25" t="s">
        <v>12</v>
      </c>
      <c r="C3" s="14"/>
      <c r="D3" s="14"/>
      <c r="E3" s="14"/>
      <c r="F3" s="14"/>
      <c r="G3" s="15"/>
      <c r="H3" s="15"/>
      <c r="I3" s="15"/>
    </row>
    <row r="4" spans="2:11" ht="25.5" customHeight="1" x14ac:dyDescent="0.25">
      <c r="B4" s="16" t="s">
        <v>13</v>
      </c>
    </row>
    <row r="5" spans="2:11" ht="14.45" customHeight="1" x14ac:dyDescent="0.25">
      <c r="B5" s="17" t="s">
        <v>0</v>
      </c>
      <c r="C5" s="18"/>
      <c r="D5" s="18"/>
      <c r="E5" s="18"/>
    </row>
    <row r="6" spans="2:11" ht="14.45" customHeight="1" x14ac:dyDescent="0.25">
      <c r="B6" s="19" t="s">
        <v>1</v>
      </c>
      <c r="C6" s="32" t="s">
        <v>2</v>
      </c>
      <c r="D6" s="32"/>
      <c r="E6" s="32"/>
    </row>
    <row r="7" spans="2:11" ht="14.45" customHeight="1" x14ac:dyDescent="0.25">
      <c r="B7" s="20" t="s">
        <v>14</v>
      </c>
      <c r="C7" s="29">
        <v>30</v>
      </c>
      <c r="D7" s="30"/>
      <c r="E7" s="31"/>
    </row>
    <row r="8" spans="2:11" ht="14.45" customHeight="1" x14ac:dyDescent="0.25">
      <c r="B8" s="20" t="s">
        <v>15</v>
      </c>
      <c r="C8" s="29">
        <v>15</v>
      </c>
      <c r="D8" s="30"/>
      <c r="E8" s="31"/>
    </row>
    <row r="9" spans="2:11" ht="14.45" customHeight="1" x14ac:dyDescent="0.25">
      <c r="B9" s="20" t="s">
        <v>16</v>
      </c>
      <c r="C9" s="29">
        <v>10</v>
      </c>
      <c r="D9" s="30"/>
      <c r="E9" s="31"/>
    </row>
    <row r="10" spans="2:11" ht="14.45" customHeight="1" x14ac:dyDescent="0.25">
      <c r="B10" s="20"/>
      <c r="C10" s="35"/>
      <c r="D10" s="35"/>
      <c r="E10" s="35"/>
    </row>
    <row r="11" spans="2:11" ht="14.45" customHeight="1" x14ac:dyDescent="0.25">
      <c r="B11" s="21" t="s">
        <v>3</v>
      </c>
      <c r="C11" s="34">
        <f>SUM(C7:C10)</f>
        <v>55</v>
      </c>
      <c r="D11" s="34"/>
      <c r="E11" s="34"/>
    </row>
    <row r="12" spans="2:11" ht="14.45" customHeight="1" x14ac:dyDescent="0.25">
      <c r="B12" s="22"/>
      <c r="C12" s="23"/>
      <c r="D12" s="23"/>
      <c r="E12" s="23"/>
    </row>
    <row r="13" spans="2:11" ht="14.45" customHeight="1" x14ac:dyDescent="0.25">
      <c r="B13" s="33" t="str">
        <f>CONCATENATE(B7," (",C7," points)")</f>
        <v>D.5 Proponent Experience and Qualifications - Business Transformation (30 points)</v>
      </c>
      <c r="C13" s="33"/>
      <c r="D13" s="33"/>
      <c r="E13" s="33"/>
      <c r="F13" s="33"/>
      <c r="G13" s="33"/>
      <c r="H13" s="33"/>
      <c r="I13" s="33"/>
      <c r="J13" s="33"/>
      <c r="K13" s="33"/>
    </row>
    <row r="14" spans="2:11" ht="107.25" customHeight="1" x14ac:dyDescent="0.25">
      <c r="B14" s="37" t="s">
        <v>39</v>
      </c>
      <c r="C14" s="37"/>
      <c r="D14" s="37"/>
      <c r="E14" s="37"/>
      <c r="F14" s="37"/>
      <c r="G14" s="37"/>
      <c r="H14" s="37"/>
      <c r="I14" s="37"/>
      <c r="J14" s="37"/>
      <c r="K14" s="37"/>
    </row>
    <row r="15" spans="2:11" ht="120" customHeight="1" x14ac:dyDescent="0.25">
      <c r="B15" s="37" t="s">
        <v>6</v>
      </c>
      <c r="C15" s="37"/>
      <c r="D15" s="37"/>
      <c r="E15" s="37"/>
      <c r="F15" s="37"/>
      <c r="G15" s="37"/>
      <c r="H15" s="37"/>
      <c r="I15" s="37"/>
      <c r="J15" s="37"/>
      <c r="K15" s="37"/>
    </row>
    <row r="16" spans="2:11" ht="143.25" customHeight="1" x14ac:dyDescent="0.25">
      <c r="B16" s="36" t="s">
        <v>61</v>
      </c>
      <c r="C16" s="36"/>
      <c r="D16" s="36"/>
      <c r="E16" s="36"/>
      <c r="F16" s="36"/>
      <c r="G16" s="36"/>
      <c r="H16" s="36"/>
      <c r="I16" s="36"/>
      <c r="J16" s="36"/>
      <c r="K16" s="36"/>
    </row>
    <row r="17" spans="2:11" ht="14.45" customHeight="1" x14ac:dyDescent="0.25">
      <c r="B17" s="36"/>
      <c r="C17" s="36"/>
      <c r="D17" s="36"/>
      <c r="E17" s="36"/>
      <c r="F17" s="36"/>
      <c r="G17" s="36"/>
      <c r="H17" s="36"/>
      <c r="I17" s="36"/>
      <c r="J17" s="36"/>
      <c r="K17" s="36"/>
    </row>
    <row r="18" spans="2:11" ht="103.5" customHeight="1" x14ac:dyDescent="0.25">
      <c r="B18" s="36" t="s">
        <v>62</v>
      </c>
      <c r="C18" s="36"/>
      <c r="D18" s="36"/>
      <c r="E18" s="36"/>
      <c r="F18" s="36"/>
      <c r="G18" s="36"/>
      <c r="H18" s="36"/>
      <c r="I18" s="36"/>
      <c r="J18" s="36"/>
      <c r="K18" s="36"/>
    </row>
    <row r="20" spans="2:11" ht="14.45" customHeight="1" x14ac:dyDescent="0.25">
      <c r="B20" s="40" t="str">
        <f>CONCATENATE(B8," (",C8," points)")</f>
        <v>D.6 Capacity to Deliver - Business Transformation (15 points)</v>
      </c>
      <c r="C20" s="41"/>
      <c r="D20" s="41"/>
      <c r="E20" s="41"/>
      <c r="F20" s="41"/>
      <c r="G20" s="41"/>
      <c r="H20" s="41"/>
      <c r="I20" s="41"/>
      <c r="J20" s="41"/>
      <c r="K20" s="42"/>
    </row>
    <row r="21" spans="2:11" ht="43.5" customHeight="1" x14ac:dyDescent="0.25">
      <c r="B21" s="43" t="s">
        <v>44</v>
      </c>
      <c r="C21" s="44"/>
      <c r="D21" s="44"/>
      <c r="E21" s="44"/>
      <c r="F21" s="44"/>
      <c r="G21" s="44"/>
      <c r="H21" s="44"/>
      <c r="I21" s="44"/>
      <c r="J21" s="44"/>
      <c r="K21" s="45"/>
    </row>
    <row r="22" spans="2:11" ht="43.5" customHeight="1" x14ac:dyDescent="0.25">
      <c r="B22" s="36" t="s">
        <v>84</v>
      </c>
      <c r="C22" s="36"/>
      <c r="D22" s="36"/>
      <c r="E22" s="36"/>
      <c r="F22" s="36"/>
      <c r="G22" s="36"/>
      <c r="H22" s="36"/>
      <c r="I22" s="36"/>
      <c r="J22" s="36"/>
      <c r="K22" s="36"/>
    </row>
    <row r="24" spans="2:11" ht="43.5" customHeight="1" x14ac:dyDescent="0.25">
      <c r="B24" s="38" t="s">
        <v>53</v>
      </c>
      <c r="C24" s="38"/>
      <c r="D24" s="38"/>
      <c r="E24" s="38"/>
      <c r="F24" s="38"/>
      <c r="G24" s="38"/>
      <c r="H24" s="38"/>
      <c r="I24" s="38"/>
      <c r="J24" s="38"/>
      <c r="K24" s="38"/>
    </row>
    <row r="26" spans="2:11" ht="43.5" customHeight="1" x14ac:dyDescent="0.25">
      <c r="B26" s="38" t="s">
        <v>54</v>
      </c>
      <c r="C26" s="38"/>
      <c r="D26" s="38"/>
      <c r="E26" s="38"/>
      <c r="F26" s="38"/>
      <c r="G26" s="38"/>
      <c r="H26" s="38"/>
      <c r="I26" s="38"/>
      <c r="J26" s="38"/>
      <c r="K26" s="38"/>
    </row>
    <row r="28" spans="2:11" ht="14.45" customHeight="1" x14ac:dyDescent="0.25">
      <c r="B28" s="40" t="str">
        <f>CONCATENATE(B9," (",C9," points)")</f>
        <v>D.7 Value Add-ons and Innovation - Business Transformation (10 points)</v>
      </c>
      <c r="C28" s="41"/>
      <c r="D28" s="41"/>
      <c r="E28" s="41"/>
      <c r="F28" s="41"/>
      <c r="G28" s="41"/>
      <c r="H28" s="41"/>
      <c r="I28" s="41"/>
      <c r="J28" s="41"/>
      <c r="K28" s="42"/>
    </row>
    <row r="29" spans="2:11" ht="15.75" customHeight="1" x14ac:dyDescent="0.25">
      <c r="B29" s="43" t="s">
        <v>5</v>
      </c>
      <c r="C29" s="44"/>
      <c r="D29" s="44"/>
      <c r="E29" s="44"/>
      <c r="F29" s="44"/>
      <c r="G29" s="44"/>
      <c r="H29" s="44"/>
      <c r="I29" s="44"/>
      <c r="J29" s="44"/>
      <c r="K29" s="45"/>
    </row>
    <row r="30" spans="2:11" ht="29.1" customHeight="1" x14ac:dyDescent="0.25">
      <c r="B30" s="36" t="s">
        <v>63</v>
      </c>
      <c r="C30" s="36"/>
      <c r="D30" s="36"/>
      <c r="E30" s="36"/>
      <c r="F30" s="36"/>
      <c r="G30" s="36"/>
      <c r="H30" s="36"/>
      <c r="I30" s="36"/>
      <c r="J30" s="36"/>
      <c r="K30" s="36"/>
    </row>
    <row r="32" spans="2:11" ht="29.1" customHeight="1" x14ac:dyDescent="0.25">
      <c r="B32" s="36" t="s">
        <v>64</v>
      </c>
      <c r="C32" s="36"/>
      <c r="D32" s="36"/>
      <c r="E32" s="36"/>
      <c r="F32" s="36"/>
      <c r="G32" s="36"/>
      <c r="H32" s="36"/>
      <c r="I32" s="36"/>
      <c r="J32" s="36"/>
      <c r="K32" s="36"/>
    </row>
  </sheetData>
  <mergeCells count="22">
    <mergeCell ref="B18:K18"/>
    <mergeCell ref="B20:K20"/>
    <mergeCell ref="B32:K32"/>
    <mergeCell ref="B21:K21"/>
    <mergeCell ref="B26:K26"/>
    <mergeCell ref="B28:K28"/>
    <mergeCell ref="B29:K29"/>
    <mergeCell ref="B30:K30"/>
    <mergeCell ref="B22:K22"/>
    <mergeCell ref="B24:K24"/>
    <mergeCell ref="B1:K1"/>
    <mergeCell ref="B17:K17"/>
    <mergeCell ref="C11:E11"/>
    <mergeCell ref="C10:E10"/>
    <mergeCell ref="C6:E6"/>
    <mergeCell ref="C7:E7"/>
    <mergeCell ref="C8:E8"/>
    <mergeCell ref="C9:E9"/>
    <mergeCell ref="B13:K13"/>
    <mergeCell ref="B14:K14"/>
    <mergeCell ref="B15:K15"/>
    <mergeCell ref="B16:K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A581E-6FE2-4444-85F5-26AF50875DD6}">
  <dimension ref="B1:K32"/>
  <sheetViews>
    <sheetView topLeftCell="B2" zoomScale="110" zoomScaleNormal="110" workbookViewId="0">
      <selection activeCell="B22" sqref="B22:K22"/>
    </sheetView>
  </sheetViews>
  <sheetFormatPr defaultColWidth="9.140625" defaultRowHeight="14.45" customHeight="1" x14ac:dyDescent="0.25"/>
  <cols>
    <col min="1" max="1" width="2.5703125" style="11" customWidth="1"/>
    <col min="2" max="2" width="70.7109375" style="11" customWidth="1"/>
    <col min="3" max="10" width="9.140625" style="11"/>
    <col min="11" max="11" width="8.7109375" style="11" customWidth="1"/>
    <col min="12" max="16384" width="9.140625" style="11"/>
  </cols>
  <sheetData>
    <row r="1" spans="2:11" ht="30" customHeight="1" x14ac:dyDescent="0.25">
      <c r="B1" s="27" t="s">
        <v>4</v>
      </c>
      <c r="C1" s="28"/>
      <c r="D1" s="28"/>
      <c r="E1" s="28"/>
      <c r="F1" s="28"/>
      <c r="G1" s="28"/>
      <c r="H1" s="28"/>
      <c r="I1" s="28"/>
      <c r="J1" s="28"/>
      <c r="K1" s="28"/>
    </row>
    <row r="2" spans="2:11" ht="14.45" customHeight="1" x14ac:dyDescent="0.25">
      <c r="B2" s="14"/>
      <c r="C2" s="14"/>
      <c r="D2" s="14"/>
      <c r="E2" s="14"/>
      <c r="F2" s="14"/>
      <c r="G2" s="15"/>
      <c r="H2" s="15"/>
      <c r="I2" s="15"/>
    </row>
    <row r="3" spans="2:11" ht="21.75" customHeight="1" x14ac:dyDescent="0.25">
      <c r="B3" s="25" t="s">
        <v>17</v>
      </c>
      <c r="C3" s="14"/>
      <c r="D3" s="14"/>
      <c r="E3" s="14"/>
      <c r="F3" s="14"/>
      <c r="G3" s="15"/>
      <c r="H3" s="15"/>
      <c r="I3" s="15"/>
    </row>
    <row r="4" spans="2:11" ht="21.75" customHeight="1" x14ac:dyDescent="0.25">
      <c r="B4" s="16" t="s">
        <v>18</v>
      </c>
    </row>
    <row r="5" spans="2:11" ht="14.45" customHeight="1" x14ac:dyDescent="0.25">
      <c r="B5" s="17" t="s">
        <v>0</v>
      </c>
      <c r="C5" s="18"/>
      <c r="D5" s="18"/>
      <c r="E5" s="18"/>
    </row>
    <row r="6" spans="2:11" ht="14.45" customHeight="1" x14ac:dyDescent="0.25">
      <c r="B6" s="19" t="s">
        <v>1</v>
      </c>
      <c r="C6" s="32" t="s">
        <v>2</v>
      </c>
      <c r="D6" s="32"/>
      <c r="E6" s="32"/>
    </row>
    <row r="7" spans="2:11" ht="14.45" customHeight="1" x14ac:dyDescent="0.25">
      <c r="B7" s="20" t="s">
        <v>19</v>
      </c>
      <c r="C7" s="29">
        <v>30</v>
      </c>
      <c r="D7" s="30"/>
      <c r="E7" s="31"/>
    </row>
    <row r="8" spans="2:11" ht="14.45" customHeight="1" x14ac:dyDescent="0.25">
      <c r="B8" s="20" t="s">
        <v>20</v>
      </c>
      <c r="C8" s="29">
        <v>15</v>
      </c>
      <c r="D8" s="30"/>
      <c r="E8" s="31"/>
    </row>
    <row r="9" spans="2:11" ht="14.45" customHeight="1" x14ac:dyDescent="0.25">
      <c r="B9" s="20" t="s">
        <v>21</v>
      </c>
      <c r="C9" s="29">
        <v>10</v>
      </c>
      <c r="D9" s="30"/>
      <c r="E9" s="31"/>
    </row>
    <row r="10" spans="2:11" ht="14.45" customHeight="1" x14ac:dyDescent="0.25">
      <c r="B10" s="20"/>
      <c r="C10" s="35"/>
      <c r="D10" s="35"/>
      <c r="E10" s="35"/>
    </row>
    <row r="11" spans="2:11" ht="14.45" customHeight="1" x14ac:dyDescent="0.25">
      <c r="B11" s="21" t="s">
        <v>3</v>
      </c>
      <c r="C11" s="34">
        <f>SUM(C7:C10)</f>
        <v>55</v>
      </c>
      <c r="D11" s="34"/>
      <c r="E11" s="34"/>
    </row>
    <row r="12" spans="2:11" ht="14.45" customHeight="1" x14ac:dyDescent="0.25">
      <c r="B12" s="22"/>
      <c r="C12" s="23"/>
      <c r="D12" s="23"/>
      <c r="E12" s="23"/>
    </row>
    <row r="13" spans="2:11" ht="14.45" customHeight="1" x14ac:dyDescent="0.25">
      <c r="B13" s="33" t="str">
        <f>CONCATENATE(B7," (",C7," points)")</f>
        <v>D.5 Proponent Experience and Qualifications - Data Management Support (30 points)</v>
      </c>
      <c r="C13" s="33"/>
      <c r="D13" s="33"/>
      <c r="E13" s="33"/>
      <c r="F13" s="33"/>
      <c r="G13" s="33"/>
      <c r="H13" s="33"/>
      <c r="I13" s="33"/>
      <c r="J13" s="33"/>
      <c r="K13" s="33"/>
    </row>
    <row r="14" spans="2:11" ht="65.25" customHeight="1" x14ac:dyDescent="0.25">
      <c r="B14" s="37" t="s">
        <v>38</v>
      </c>
      <c r="C14" s="37"/>
      <c r="D14" s="37"/>
      <c r="E14" s="37"/>
      <c r="F14" s="37"/>
      <c r="G14" s="37"/>
      <c r="H14" s="37"/>
      <c r="I14" s="37"/>
      <c r="J14" s="37"/>
      <c r="K14" s="37"/>
    </row>
    <row r="15" spans="2:11" ht="109.5" customHeight="1" x14ac:dyDescent="0.25">
      <c r="B15" s="37" t="s">
        <v>6</v>
      </c>
      <c r="C15" s="37"/>
      <c r="D15" s="37"/>
      <c r="E15" s="37"/>
      <c r="F15" s="37"/>
      <c r="G15" s="37"/>
      <c r="H15" s="37"/>
      <c r="I15" s="37"/>
      <c r="J15" s="37"/>
      <c r="K15" s="37"/>
    </row>
    <row r="16" spans="2:11" ht="185.25" customHeight="1" x14ac:dyDescent="0.25">
      <c r="B16" s="36" t="s">
        <v>65</v>
      </c>
      <c r="C16" s="36"/>
      <c r="D16" s="36"/>
      <c r="E16" s="36"/>
      <c r="F16" s="36"/>
      <c r="G16" s="36"/>
      <c r="H16" s="36"/>
      <c r="I16" s="36"/>
      <c r="J16" s="36"/>
      <c r="K16" s="36"/>
    </row>
    <row r="17" spans="2:11" ht="14.45" hidden="1" customHeight="1" x14ac:dyDescent="0.25">
      <c r="B17" s="46"/>
      <c r="C17" s="46"/>
      <c r="D17" s="46"/>
      <c r="E17" s="46"/>
      <c r="F17" s="46"/>
      <c r="G17" s="46"/>
      <c r="H17" s="46"/>
      <c r="I17" s="46"/>
      <c r="J17" s="46"/>
      <c r="K17" s="46"/>
    </row>
    <row r="18" spans="2:11" ht="14.45" hidden="1" customHeight="1" x14ac:dyDescent="0.25"/>
    <row r="19" spans="2:11" ht="14.45" hidden="1" customHeight="1" x14ac:dyDescent="0.25"/>
    <row r="20" spans="2:11" ht="14.45" customHeight="1" x14ac:dyDescent="0.25">
      <c r="B20" s="33" t="str">
        <f>CONCATENATE(B8," (",C8," points)")</f>
        <v>D.6 Capacity to Deliver - Data Management Support (15 points)</v>
      </c>
      <c r="C20" s="33"/>
      <c r="D20" s="33"/>
      <c r="E20" s="33"/>
      <c r="F20" s="33"/>
      <c r="G20" s="33"/>
      <c r="H20" s="33"/>
      <c r="I20" s="33"/>
      <c r="J20" s="33"/>
      <c r="K20" s="33"/>
    </row>
    <row r="21" spans="2:11" ht="43.5" customHeight="1" x14ac:dyDescent="0.25">
      <c r="B21" s="37" t="s">
        <v>45</v>
      </c>
      <c r="C21" s="37"/>
      <c r="D21" s="37"/>
      <c r="E21" s="37"/>
      <c r="F21" s="37"/>
      <c r="G21" s="37"/>
      <c r="H21" s="37"/>
      <c r="I21" s="37"/>
      <c r="J21" s="37"/>
      <c r="K21" s="37"/>
    </row>
    <row r="22" spans="2:11" ht="43.5" customHeight="1" x14ac:dyDescent="0.25">
      <c r="B22" s="36" t="s">
        <v>85</v>
      </c>
      <c r="C22" s="36"/>
      <c r="D22" s="36"/>
      <c r="E22" s="36"/>
      <c r="F22" s="36"/>
      <c r="G22" s="36"/>
      <c r="H22" s="36"/>
      <c r="I22" s="36"/>
      <c r="J22" s="36"/>
      <c r="K22" s="36"/>
    </row>
    <row r="24" spans="2:11" ht="43.5" customHeight="1" x14ac:dyDescent="0.25">
      <c r="B24" s="38" t="s">
        <v>55</v>
      </c>
      <c r="C24" s="38"/>
      <c r="D24" s="38"/>
      <c r="E24" s="38"/>
      <c r="F24" s="38"/>
      <c r="G24" s="38"/>
      <c r="H24" s="38"/>
      <c r="I24" s="38"/>
      <c r="J24" s="38"/>
      <c r="K24" s="38"/>
    </row>
    <row r="26" spans="2:11" ht="43.5" customHeight="1" x14ac:dyDescent="0.25">
      <c r="B26" s="38" t="s">
        <v>56</v>
      </c>
      <c r="C26" s="38"/>
      <c r="D26" s="38"/>
      <c r="E26" s="38"/>
      <c r="F26" s="38"/>
      <c r="G26" s="38"/>
      <c r="H26" s="38"/>
      <c r="I26" s="38"/>
      <c r="J26" s="38"/>
      <c r="K26" s="38"/>
    </row>
    <row r="28" spans="2:11" ht="14.45" customHeight="1" x14ac:dyDescent="0.25">
      <c r="B28" s="33" t="str">
        <f>CONCATENATE(B9," (",C9," points)")</f>
        <v>D.7 Value Add-ons and Innovation - Data Management Support (10 points)</v>
      </c>
      <c r="C28" s="33"/>
      <c r="D28" s="33"/>
      <c r="E28" s="33"/>
      <c r="F28" s="33"/>
      <c r="G28" s="33"/>
      <c r="H28" s="33"/>
      <c r="I28" s="33"/>
      <c r="J28" s="33"/>
      <c r="K28" s="33"/>
    </row>
    <row r="29" spans="2:11" ht="15.75" customHeight="1" x14ac:dyDescent="0.25">
      <c r="B29" s="37" t="s">
        <v>5</v>
      </c>
      <c r="C29" s="37"/>
      <c r="D29" s="37"/>
      <c r="E29" s="37"/>
      <c r="F29" s="37"/>
      <c r="G29" s="37"/>
      <c r="H29" s="37"/>
      <c r="I29" s="37"/>
      <c r="J29" s="37"/>
      <c r="K29" s="37"/>
    </row>
    <row r="30" spans="2:11" ht="29.1" customHeight="1" x14ac:dyDescent="0.25">
      <c r="B30" s="36" t="s">
        <v>66</v>
      </c>
      <c r="C30" s="36"/>
      <c r="D30" s="36"/>
      <c r="E30" s="36"/>
      <c r="F30" s="36"/>
      <c r="G30" s="36"/>
      <c r="H30" s="36"/>
      <c r="I30" s="36"/>
      <c r="J30" s="36"/>
      <c r="K30" s="36"/>
    </row>
    <row r="32" spans="2:11" ht="29.1" customHeight="1" x14ac:dyDescent="0.25">
      <c r="B32" s="36" t="s">
        <v>67</v>
      </c>
      <c r="C32" s="36"/>
      <c r="D32" s="36"/>
      <c r="E32" s="36"/>
      <c r="F32" s="36"/>
      <c r="G32" s="36"/>
      <c r="H32" s="36"/>
      <c r="I32" s="36"/>
      <c r="J32" s="36"/>
      <c r="K32" s="36"/>
    </row>
  </sheetData>
  <mergeCells count="21">
    <mergeCell ref="B26:K26"/>
    <mergeCell ref="B28:K28"/>
    <mergeCell ref="B29:K29"/>
    <mergeCell ref="B30:K30"/>
    <mergeCell ref="B32:K32"/>
    <mergeCell ref="B13:K13"/>
    <mergeCell ref="B14:K14"/>
    <mergeCell ref="B15:K15"/>
    <mergeCell ref="B16:K16"/>
    <mergeCell ref="B24:K24"/>
    <mergeCell ref="B20:K20"/>
    <mergeCell ref="B21:K21"/>
    <mergeCell ref="B22:K22"/>
    <mergeCell ref="B17:K17"/>
    <mergeCell ref="C11:E11"/>
    <mergeCell ref="B1:K1"/>
    <mergeCell ref="C10:E10"/>
    <mergeCell ref="C6:E6"/>
    <mergeCell ref="C7:E7"/>
    <mergeCell ref="C8:E8"/>
    <mergeCell ref="C9:E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92B9-3573-4D00-8D4F-E8CE32B2350B}">
  <dimension ref="B1:N33"/>
  <sheetViews>
    <sheetView topLeftCell="A8" zoomScale="110" zoomScaleNormal="110" workbookViewId="0">
      <selection activeCell="C10" sqref="C10:E10"/>
    </sheetView>
  </sheetViews>
  <sheetFormatPr defaultRowHeight="14.45" customHeight="1" x14ac:dyDescent="0.25"/>
  <cols>
    <col min="1" max="1" width="2.5703125" customWidth="1"/>
    <col min="2" max="2" width="85.28515625" customWidth="1"/>
    <col min="11" max="11" width="8.7109375" customWidth="1"/>
  </cols>
  <sheetData>
    <row r="1" spans="2:14" ht="30" customHeight="1" x14ac:dyDescent="0.25">
      <c r="B1" s="48" t="s">
        <v>4</v>
      </c>
      <c r="C1" s="49"/>
      <c r="D1" s="49"/>
      <c r="E1" s="49"/>
      <c r="F1" s="49"/>
      <c r="G1" s="49"/>
      <c r="H1" s="49"/>
      <c r="I1" s="49"/>
      <c r="J1" s="49"/>
      <c r="K1" s="49"/>
    </row>
    <row r="2" spans="2:14" ht="14.45" customHeight="1" x14ac:dyDescent="0.25">
      <c r="B2" s="2"/>
      <c r="C2" s="2"/>
      <c r="D2" s="2"/>
      <c r="E2" s="2"/>
      <c r="F2" s="2"/>
      <c r="G2" s="3"/>
      <c r="H2" s="3"/>
      <c r="I2" s="3"/>
    </row>
    <row r="3" spans="2:14" ht="21" customHeight="1" x14ac:dyDescent="0.25">
      <c r="B3" s="25" t="s">
        <v>22</v>
      </c>
      <c r="C3" s="2"/>
      <c r="D3" s="2"/>
      <c r="E3" s="2"/>
      <c r="F3" s="2"/>
      <c r="G3" s="3"/>
      <c r="H3" s="3"/>
      <c r="I3" s="3"/>
    </row>
    <row r="4" spans="2:14" ht="14.45" customHeight="1" x14ac:dyDescent="0.25">
      <c r="B4" s="1" t="s">
        <v>23</v>
      </c>
    </row>
    <row r="5" spans="2:14" ht="14.45" customHeight="1" x14ac:dyDescent="0.25">
      <c r="B5" s="4" t="s">
        <v>0</v>
      </c>
      <c r="C5" s="5"/>
      <c r="D5" s="5"/>
      <c r="E5" s="5"/>
    </row>
    <row r="6" spans="2:14" ht="14.45" customHeight="1" x14ac:dyDescent="0.25">
      <c r="B6" s="6" t="s">
        <v>1</v>
      </c>
      <c r="C6" s="51" t="s">
        <v>2</v>
      </c>
      <c r="D6" s="51"/>
      <c r="E6" s="51"/>
    </row>
    <row r="7" spans="2:14" ht="14.45" customHeight="1" x14ac:dyDescent="0.25">
      <c r="B7" s="7" t="s">
        <v>24</v>
      </c>
      <c r="C7" s="52">
        <v>30</v>
      </c>
      <c r="D7" s="53"/>
      <c r="E7" s="54"/>
    </row>
    <row r="8" spans="2:14" ht="14.45" customHeight="1" x14ac:dyDescent="0.25">
      <c r="B8" s="7" t="s">
        <v>25</v>
      </c>
      <c r="C8" s="52">
        <v>15</v>
      </c>
      <c r="D8" s="53"/>
      <c r="E8" s="54"/>
    </row>
    <row r="9" spans="2:14" ht="14.45" customHeight="1" x14ac:dyDescent="0.25">
      <c r="B9" s="7" t="s">
        <v>26</v>
      </c>
      <c r="C9" s="52">
        <v>10</v>
      </c>
      <c r="D9" s="53"/>
      <c r="E9" s="54"/>
    </row>
    <row r="10" spans="2:14" ht="14.45" customHeight="1" x14ac:dyDescent="0.25">
      <c r="B10" s="7"/>
      <c r="C10" s="50"/>
      <c r="D10" s="50"/>
      <c r="E10" s="50"/>
    </row>
    <row r="11" spans="2:14" ht="14.45" customHeight="1" x14ac:dyDescent="0.25">
      <c r="B11" s="8" t="s">
        <v>3</v>
      </c>
      <c r="C11" s="47">
        <f>SUM(C7:C10)</f>
        <v>55</v>
      </c>
      <c r="D11" s="47"/>
      <c r="E11" s="47"/>
    </row>
    <row r="12" spans="2:14" ht="14.45" customHeight="1" x14ac:dyDescent="0.25">
      <c r="B12" s="9"/>
      <c r="C12" s="10"/>
      <c r="D12" s="10"/>
      <c r="E12" s="10"/>
    </row>
    <row r="13" spans="2:14" ht="14.45" customHeight="1" x14ac:dyDescent="0.25">
      <c r="B13" s="33" t="str">
        <f>CONCATENATE(B7," (",C7," points)")</f>
        <v>D.5 Proponent Experience and Qualifications - Reporting, BI, Dashboards (30 points)</v>
      </c>
      <c r="C13" s="33"/>
      <c r="D13" s="33"/>
      <c r="E13" s="33"/>
      <c r="F13" s="33"/>
      <c r="G13" s="33"/>
      <c r="H13" s="33"/>
      <c r="I13" s="33"/>
      <c r="J13" s="33"/>
      <c r="K13" s="33"/>
    </row>
    <row r="14" spans="2:14" s="11" customFormat="1" ht="77.25" customHeight="1" x14ac:dyDescent="0.25">
      <c r="B14" s="37" t="s">
        <v>40</v>
      </c>
      <c r="C14" s="37"/>
      <c r="D14" s="37"/>
      <c r="E14" s="37"/>
      <c r="F14" s="37"/>
      <c r="G14" s="37"/>
      <c r="H14" s="37"/>
      <c r="I14" s="37"/>
      <c r="J14" s="37"/>
      <c r="K14" s="37"/>
    </row>
    <row r="15" spans="2:14" ht="102" customHeight="1" x14ac:dyDescent="0.25">
      <c r="B15" s="37" t="s">
        <v>6</v>
      </c>
      <c r="C15" s="37"/>
      <c r="D15" s="37"/>
      <c r="E15" s="37"/>
      <c r="F15" s="37"/>
      <c r="G15" s="37"/>
      <c r="H15" s="37"/>
      <c r="I15" s="37"/>
      <c r="J15" s="37"/>
      <c r="K15" s="37"/>
    </row>
    <row r="16" spans="2:14" s="11" customFormat="1" ht="14.45" customHeight="1" x14ac:dyDescent="0.25">
      <c r="B16" s="12"/>
      <c r="C16" s="12"/>
      <c r="D16" s="12"/>
      <c r="E16" s="12"/>
      <c r="F16" s="12"/>
      <c r="G16" s="12"/>
      <c r="H16" s="12"/>
      <c r="I16" s="12"/>
      <c r="J16" s="12"/>
      <c r="K16" s="12"/>
      <c r="N16" s="13"/>
    </row>
    <row r="17" spans="2:11" s="11" customFormat="1" ht="111" customHeight="1" x14ac:dyDescent="0.25">
      <c r="B17" s="38" t="s">
        <v>68</v>
      </c>
      <c r="C17" s="38"/>
      <c r="D17" s="38"/>
      <c r="E17" s="38"/>
      <c r="F17" s="38"/>
      <c r="G17" s="38"/>
      <c r="H17" s="38"/>
      <c r="I17" s="38"/>
      <c r="J17" s="38"/>
      <c r="K17" s="38"/>
    </row>
    <row r="18" spans="2:11" s="11" customFormat="1" ht="14.25" customHeight="1" x14ac:dyDescent="0.25">
      <c r="B18" s="26"/>
      <c r="C18" s="26"/>
      <c r="D18" s="26"/>
      <c r="E18" s="26"/>
      <c r="F18" s="26"/>
      <c r="G18" s="26"/>
      <c r="H18" s="26"/>
      <c r="I18" s="26"/>
      <c r="J18" s="26"/>
      <c r="K18" s="26"/>
    </row>
    <row r="19" spans="2:11" s="11" customFormat="1" ht="111" customHeight="1" x14ac:dyDescent="0.25">
      <c r="B19" s="38" t="s">
        <v>69</v>
      </c>
      <c r="C19" s="38"/>
      <c r="D19" s="38"/>
      <c r="E19" s="38"/>
      <c r="F19" s="38"/>
      <c r="G19" s="38"/>
      <c r="H19" s="38"/>
      <c r="I19" s="38"/>
      <c r="J19" s="38"/>
      <c r="K19" s="38"/>
    </row>
    <row r="21" spans="2:11" ht="14.45" customHeight="1" x14ac:dyDescent="0.25">
      <c r="B21" s="55" t="str">
        <f>CONCATENATE(B8," (",C8," points)")</f>
        <v>D.6 Capacity to Deliver - Reporting, BI, Dashboards (15 points)</v>
      </c>
      <c r="C21" s="55"/>
      <c r="D21" s="55"/>
      <c r="E21" s="55"/>
      <c r="F21" s="55"/>
      <c r="G21" s="55"/>
      <c r="H21" s="55"/>
      <c r="I21" s="55"/>
      <c r="J21" s="55"/>
      <c r="K21" s="55"/>
    </row>
    <row r="22" spans="2:11" ht="43.5" customHeight="1" x14ac:dyDescent="0.25">
      <c r="B22" s="56" t="s">
        <v>46</v>
      </c>
      <c r="C22" s="56"/>
      <c r="D22" s="56"/>
      <c r="E22" s="56"/>
      <c r="F22" s="56"/>
      <c r="G22" s="56"/>
      <c r="H22" s="56"/>
      <c r="I22" s="56"/>
      <c r="J22" s="56"/>
      <c r="K22" s="56"/>
    </row>
    <row r="23" spans="2:11" ht="43.5" customHeight="1" x14ac:dyDescent="0.25">
      <c r="B23" s="36" t="s">
        <v>86</v>
      </c>
      <c r="C23" s="36"/>
      <c r="D23" s="36"/>
      <c r="E23" s="36"/>
      <c r="F23" s="36"/>
      <c r="G23" s="36"/>
      <c r="H23" s="36"/>
      <c r="I23" s="36"/>
      <c r="J23" s="36"/>
      <c r="K23" s="36"/>
    </row>
    <row r="25" spans="2:11" ht="43.5" customHeight="1" x14ac:dyDescent="0.25">
      <c r="B25" s="38" t="s">
        <v>57</v>
      </c>
      <c r="C25" s="38"/>
      <c r="D25" s="38"/>
      <c r="E25" s="38"/>
      <c r="F25" s="38"/>
      <c r="G25" s="38"/>
      <c r="H25" s="38"/>
      <c r="I25" s="38"/>
      <c r="J25" s="38"/>
      <c r="K25" s="38"/>
    </row>
    <row r="27" spans="2:11" ht="43.5" customHeight="1" x14ac:dyDescent="0.25">
      <c r="B27" s="38" t="s">
        <v>58</v>
      </c>
      <c r="C27" s="38"/>
      <c r="D27" s="38"/>
      <c r="E27" s="38"/>
      <c r="F27" s="38"/>
      <c r="G27" s="38"/>
      <c r="H27" s="38"/>
      <c r="I27" s="38"/>
      <c r="J27" s="38"/>
      <c r="K27" s="38"/>
    </row>
    <row r="29" spans="2:11" ht="14.45" customHeight="1" x14ac:dyDescent="0.25">
      <c r="B29" s="55" t="str">
        <f>CONCATENATE(B9," (",C9," points)")</f>
        <v>D.7 Value Add-ons and Innovation - Reporting, BI, Dashboards (10 points)</v>
      </c>
      <c r="C29" s="55"/>
      <c r="D29" s="55"/>
      <c r="E29" s="55"/>
      <c r="F29" s="55"/>
      <c r="G29" s="55"/>
      <c r="H29" s="55"/>
      <c r="I29" s="55"/>
      <c r="J29" s="55"/>
      <c r="K29" s="55"/>
    </row>
    <row r="30" spans="2:11" ht="15.75" customHeight="1" x14ac:dyDescent="0.25">
      <c r="B30" s="56" t="s">
        <v>5</v>
      </c>
      <c r="C30" s="56"/>
      <c r="D30" s="56"/>
      <c r="E30" s="56"/>
      <c r="F30" s="56"/>
      <c r="G30" s="56"/>
      <c r="H30" s="56"/>
      <c r="I30" s="56"/>
      <c r="J30" s="56"/>
      <c r="K30" s="56"/>
    </row>
    <row r="31" spans="2:11" ht="29.1" customHeight="1" x14ac:dyDescent="0.25">
      <c r="B31" s="36" t="s">
        <v>70</v>
      </c>
      <c r="C31" s="36"/>
      <c r="D31" s="36"/>
      <c r="E31" s="36"/>
      <c r="F31" s="36"/>
      <c r="G31" s="36"/>
      <c r="H31" s="36"/>
      <c r="I31" s="36"/>
      <c r="J31" s="36"/>
      <c r="K31" s="36"/>
    </row>
    <row r="33" spans="2:11" ht="29.1" customHeight="1" x14ac:dyDescent="0.25">
      <c r="B33" s="38" t="s">
        <v>71</v>
      </c>
      <c r="C33" s="38"/>
      <c r="D33" s="38"/>
      <c r="E33" s="38"/>
      <c r="F33" s="38"/>
      <c r="G33" s="38"/>
      <c r="H33" s="38"/>
      <c r="I33" s="38"/>
      <c r="J33" s="38"/>
      <c r="K33" s="38"/>
    </row>
  </sheetData>
  <mergeCells count="21">
    <mergeCell ref="B27:K27"/>
    <mergeCell ref="B29:K29"/>
    <mergeCell ref="B30:K30"/>
    <mergeCell ref="B31:K31"/>
    <mergeCell ref="B33:K33"/>
    <mergeCell ref="B25:K25"/>
    <mergeCell ref="B21:K21"/>
    <mergeCell ref="B22:K22"/>
    <mergeCell ref="B23:K23"/>
    <mergeCell ref="B17:K17"/>
    <mergeCell ref="B19:K19"/>
    <mergeCell ref="B13:K13"/>
    <mergeCell ref="B14:K14"/>
    <mergeCell ref="B15:K15"/>
    <mergeCell ref="C11:E11"/>
    <mergeCell ref="B1:K1"/>
    <mergeCell ref="C10:E10"/>
    <mergeCell ref="C6:E6"/>
    <mergeCell ref="C7:E7"/>
    <mergeCell ref="C8:E8"/>
    <mergeCell ref="C9:E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3309-DB72-4007-897A-47B260749CAB}">
  <dimension ref="B1:K33"/>
  <sheetViews>
    <sheetView tabSelected="1" topLeftCell="A8" zoomScale="110" zoomScaleNormal="110" workbookViewId="0">
      <selection activeCell="C10" sqref="C10:E10"/>
    </sheetView>
  </sheetViews>
  <sheetFormatPr defaultRowHeight="14.45" customHeight="1" x14ac:dyDescent="0.25"/>
  <cols>
    <col min="1" max="1" width="2.5703125" customWidth="1"/>
    <col min="2" max="2" width="85.140625" customWidth="1"/>
    <col min="11" max="11" width="8.7109375" customWidth="1"/>
  </cols>
  <sheetData>
    <row r="1" spans="2:11" ht="30" customHeight="1" x14ac:dyDescent="0.25">
      <c r="B1" s="48" t="s">
        <v>4</v>
      </c>
      <c r="C1" s="49"/>
      <c r="D1" s="49"/>
      <c r="E1" s="49"/>
      <c r="F1" s="49"/>
      <c r="G1" s="49"/>
      <c r="H1" s="49"/>
      <c r="I1" s="49"/>
      <c r="J1" s="49"/>
      <c r="K1" s="49"/>
    </row>
    <row r="2" spans="2:11" ht="14.45" customHeight="1" x14ac:dyDescent="0.25">
      <c r="B2" s="2"/>
      <c r="C2" s="2"/>
      <c r="D2" s="2"/>
      <c r="E2" s="2"/>
      <c r="F2" s="2"/>
      <c r="G2" s="3"/>
      <c r="H2" s="3"/>
      <c r="I2" s="3"/>
    </row>
    <row r="3" spans="2:11" ht="23.25" customHeight="1" x14ac:dyDescent="0.25">
      <c r="B3" s="25" t="s">
        <v>29</v>
      </c>
      <c r="C3" s="2"/>
      <c r="D3" s="2"/>
      <c r="E3" s="2"/>
      <c r="F3" s="2"/>
      <c r="G3" s="3"/>
      <c r="H3" s="3"/>
      <c r="I3" s="3"/>
    </row>
    <row r="4" spans="2:11" ht="14.45" customHeight="1" x14ac:dyDescent="0.25">
      <c r="B4" s="1" t="s">
        <v>30</v>
      </c>
    </row>
    <row r="5" spans="2:11" ht="14.45" customHeight="1" x14ac:dyDescent="0.25">
      <c r="B5" s="4" t="s">
        <v>0</v>
      </c>
      <c r="C5" s="5"/>
      <c r="D5" s="5"/>
      <c r="E5" s="5"/>
    </row>
    <row r="6" spans="2:11" ht="14.45" customHeight="1" x14ac:dyDescent="0.25">
      <c r="B6" s="6" t="s">
        <v>1</v>
      </c>
      <c r="C6" s="51" t="s">
        <v>2</v>
      </c>
      <c r="D6" s="51"/>
      <c r="E6" s="51"/>
    </row>
    <row r="7" spans="2:11" ht="14.45" customHeight="1" x14ac:dyDescent="0.25">
      <c r="B7" s="7" t="s">
        <v>28</v>
      </c>
      <c r="C7" s="52">
        <v>30</v>
      </c>
      <c r="D7" s="53"/>
      <c r="E7" s="54"/>
    </row>
    <row r="8" spans="2:11" ht="14.45" customHeight="1" x14ac:dyDescent="0.25">
      <c r="B8" s="7" t="s">
        <v>31</v>
      </c>
      <c r="C8" s="52">
        <v>15</v>
      </c>
      <c r="D8" s="53"/>
      <c r="E8" s="54"/>
    </row>
    <row r="9" spans="2:11" ht="14.45" customHeight="1" x14ac:dyDescent="0.25">
      <c r="B9" s="7" t="s">
        <v>32</v>
      </c>
      <c r="C9" s="52">
        <v>10</v>
      </c>
      <c r="D9" s="53"/>
      <c r="E9" s="54"/>
    </row>
    <row r="10" spans="2:11" ht="14.45" customHeight="1" x14ac:dyDescent="0.25">
      <c r="B10" s="7"/>
      <c r="C10" s="50"/>
      <c r="D10" s="50"/>
      <c r="E10" s="50"/>
    </row>
    <row r="11" spans="2:11" ht="14.45" customHeight="1" x14ac:dyDescent="0.25">
      <c r="B11" s="8" t="s">
        <v>3</v>
      </c>
      <c r="C11" s="47">
        <f>SUM(C7:C10)</f>
        <v>55</v>
      </c>
      <c r="D11" s="47"/>
      <c r="E11" s="47"/>
    </row>
    <row r="12" spans="2:11" ht="14.45" customHeight="1" x14ac:dyDescent="0.25">
      <c r="B12" s="9"/>
      <c r="C12" s="10"/>
      <c r="D12" s="10"/>
      <c r="E12" s="10"/>
    </row>
    <row r="13" spans="2:11" ht="14.45" customHeight="1" x14ac:dyDescent="0.25">
      <c r="B13" s="33" t="str">
        <f>CONCATENATE(B7," (",C7," points)")</f>
        <v>D.5 Proponent Experience and Qualifications - Data Science, ML, AI (30 points)</v>
      </c>
      <c r="C13" s="33"/>
      <c r="D13" s="33"/>
      <c r="E13" s="33"/>
      <c r="F13" s="33"/>
      <c r="G13" s="33"/>
      <c r="H13" s="33"/>
      <c r="I13" s="33"/>
      <c r="J13" s="33"/>
      <c r="K13" s="33"/>
    </row>
    <row r="14" spans="2:11" s="11" customFormat="1" ht="80.25" customHeight="1" x14ac:dyDescent="0.25">
      <c r="B14" s="37" t="s">
        <v>41</v>
      </c>
      <c r="C14" s="37"/>
      <c r="D14" s="37"/>
      <c r="E14" s="37"/>
      <c r="F14" s="37"/>
      <c r="G14" s="37"/>
      <c r="H14" s="37"/>
      <c r="I14" s="37"/>
      <c r="J14" s="37"/>
      <c r="K14" s="37"/>
    </row>
    <row r="15" spans="2:11" ht="105" customHeight="1" x14ac:dyDescent="0.25">
      <c r="B15" s="37" t="s">
        <v>6</v>
      </c>
      <c r="C15" s="37"/>
      <c r="D15" s="37"/>
      <c r="E15" s="37"/>
      <c r="F15" s="37"/>
      <c r="G15" s="37"/>
      <c r="H15" s="37"/>
      <c r="I15" s="37"/>
      <c r="J15" s="37"/>
      <c r="K15" s="37"/>
    </row>
    <row r="16" spans="2:11" ht="14.45" customHeight="1" x14ac:dyDescent="0.25">
      <c r="B16" s="57"/>
      <c r="C16" s="57"/>
      <c r="D16" s="57"/>
      <c r="E16" s="57"/>
      <c r="F16" s="57"/>
      <c r="G16" s="57"/>
      <c r="H16" s="57"/>
      <c r="I16" s="57"/>
      <c r="J16" s="57"/>
      <c r="K16" s="57"/>
    </row>
    <row r="17" spans="2:11" ht="113.25" customHeight="1" x14ac:dyDescent="0.25">
      <c r="B17" s="38" t="s">
        <v>72</v>
      </c>
      <c r="C17" s="38"/>
      <c r="D17" s="38"/>
      <c r="E17" s="38"/>
      <c r="F17" s="38"/>
      <c r="G17" s="38"/>
      <c r="H17" s="38"/>
      <c r="I17" s="38"/>
      <c r="J17" s="38"/>
      <c r="K17" s="38"/>
    </row>
    <row r="18" spans="2:11" ht="14.25" customHeight="1" x14ac:dyDescent="0.25">
      <c r="B18" s="26"/>
      <c r="C18" s="26"/>
      <c r="D18" s="26"/>
      <c r="E18" s="26"/>
      <c r="F18" s="26"/>
      <c r="G18" s="26"/>
      <c r="H18" s="26"/>
      <c r="I18" s="26"/>
      <c r="J18" s="26"/>
      <c r="K18" s="26"/>
    </row>
    <row r="19" spans="2:11" ht="113.25" customHeight="1" x14ac:dyDescent="0.25">
      <c r="B19" s="38" t="s">
        <v>73</v>
      </c>
      <c r="C19" s="38"/>
      <c r="D19" s="38"/>
      <c r="E19" s="38"/>
      <c r="F19" s="38"/>
      <c r="G19" s="38"/>
      <c r="H19" s="38"/>
      <c r="I19" s="38"/>
      <c r="J19" s="38"/>
      <c r="K19" s="38"/>
    </row>
    <row r="21" spans="2:11" ht="14.45" customHeight="1" x14ac:dyDescent="0.25">
      <c r="B21" s="55" t="str">
        <f>CONCATENATE(B8," (",C8," points)")</f>
        <v>D.6 Capacity to Deliver - Data Science, ML, AI (15 points)</v>
      </c>
      <c r="C21" s="55"/>
      <c r="D21" s="55"/>
      <c r="E21" s="55"/>
      <c r="F21" s="55"/>
      <c r="G21" s="55"/>
      <c r="H21" s="55"/>
      <c r="I21" s="55"/>
      <c r="J21" s="55"/>
      <c r="K21" s="55"/>
    </row>
    <row r="22" spans="2:11" ht="43.5" customHeight="1" x14ac:dyDescent="0.25">
      <c r="B22" s="56" t="s">
        <v>47</v>
      </c>
      <c r="C22" s="56"/>
      <c r="D22" s="56"/>
      <c r="E22" s="56"/>
      <c r="F22" s="56"/>
      <c r="G22" s="56"/>
      <c r="H22" s="56"/>
      <c r="I22" s="56"/>
      <c r="J22" s="56"/>
      <c r="K22" s="56"/>
    </row>
    <row r="23" spans="2:11" ht="43.5" customHeight="1" x14ac:dyDescent="0.25">
      <c r="B23" s="36" t="s">
        <v>87</v>
      </c>
      <c r="C23" s="36"/>
      <c r="D23" s="36"/>
      <c r="E23" s="36"/>
      <c r="F23" s="36"/>
      <c r="G23" s="36"/>
      <c r="H23" s="36"/>
      <c r="I23" s="36"/>
      <c r="J23" s="36"/>
      <c r="K23" s="36"/>
    </row>
    <row r="25" spans="2:11" ht="43.5" customHeight="1" x14ac:dyDescent="0.25">
      <c r="B25" s="38" t="s">
        <v>74</v>
      </c>
      <c r="C25" s="38"/>
      <c r="D25" s="38"/>
      <c r="E25" s="38"/>
      <c r="F25" s="38"/>
      <c r="G25" s="38"/>
      <c r="H25" s="38"/>
      <c r="I25" s="38"/>
      <c r="J25" s="38"/>
      <c r="K25" s="38"/>
    </row>
    <row r="27" spans="2:11" ht="43.5" customHeight="1" x14ac:dyDescent="0.25">
      <c r="B27" s="38" t="s">
        <v>75</v>
      </c>
      <c r="C27" s="38"/>
      <c r="D27" s="38"/>
      <c r="E27" s="38"/>
      <c r="F27" s="38"/>
      <c r="G27" s="38"/>
      <c r="H27" s="38"/>
      <c r="I27" s="38"/>
      <c r="J27" s="38"/>
      <c r="K27" s="38"/>
    </row>
    <row r="29" spans="2:11" ht="14.45" customHeight="1" x14ac:dyDescent="0.25">
      <c r="B29" s="55" t="str">
        <f>CONCATENATE(B9," (",C9," points)")</f>
        <v>D.7 Value Add-ons and Innovation  - Data Science, ML, AI (10 points)</v>
      </c>
      <c r="C29" s="55"/>
      <c r="D29" s="55"/>
      <c r="E29" s="55"/>
      <c r="F29" s="55"/>
      <c r="G29" s="55"/>
      <c r="H29" s="55"/>
      <c r="I29" s="55"/>
      <c r="J29" s="55"/>
      <c r="K29" s="55"/>
    </row>
    <row r="30" spans="2:11" ht="15.75" customHeight="1" x14ac:dyDescent="0.25">
      <c r="B30" s="56" t="s">
        <v>5</v>
      </c>
      <c r="C30" s="56"/>
      <c r="D30" s="56"/>
      <c r="E30" s="56"/>
      <c r="F30" s="56"/>
      <c r="G30" s="56"/>
      <c r="H30" s="56"/>
      <c r="I30" s="56"/>
      <c r="J30" s="56"/>
      <c r="K30" s="56"/>
    </row>
    <row r="31" spans="2:11" ht="29.1" customHeight="1" x14ac:dyDescent="0.25">
      <c r="B31" s="36" t="s">
        <v>76</v>
      </c>
      <c r="C31" s="36"/>
      <c r="D31" s="36"/>
      <c r="E31" s="36"/>
      <c r="F31" s="36"/>
      <c r="G31" s="36"/>
      <c r="H31" s="36"/>
      <c r="I31" s="36"/>
      <c r="J31" s="36"/>
      <c r="K31" s="36"/>
    </row>
    <row r="33" spans="2:11" ht="29.1" customHeight="1" x14ac:dyDescent="0.25">
      <c r="B33" s="36" t="s">
        <v>77</v>
      </c>
      <c r="C33" s="36"/>
      <c r="D33" s="36"/>
      <c r="E33" s="36"/>
      <c r="F33" s="36"/>
      <c r="G33" s="36"/>
      <c r="H33" s="36"/>
      <c r="I33" s="36"/>
      <c r="J33" s="36"/>
      <c r="K33" s="36"/>
    </row>
  </sheetData>
  <mergeCells count="22">
    <mergeCell ref="B27:K27"/>
    <mergeCell ref="B29:K29"/>
    <mergeCell ref="B30:K30"/>
    <mergeCell ref="B31:K31"/>
    <mergeCell ref="B33:K33"/>
    <mergeCell ref="B25:K25"/>
    <mergeCell ref="B21:K21"/>
    <mergeCell ref="B22:K22"/>
    <mergeCell ref="B23:K23"/>
    <mergeCell ref="B16:K16"/>
    <mergeCell ref="B17:K17"/>
    <mergeCell ref="B19:K19"/>
    <mergeCell ref="C11:E11"/>
    <mergeCell ref="C7:E7"/>
    <mergeCell ref="B13:K13"/>
    <mergeCell ref="B14:K14"/>
    <mergeCell ref="B15:K15"/>
    <mergeCell ref="B1:K1"/>
    <mergeCell ref="C6:E6"/>
    <mergeCell ref="C8:E8"/>
    <mergeCell ref="C9:E9"/>
    <mergeCell ref="C10:E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1A2F-5933-407E-9E58-2C2D1FF3D827}">
  <dimension ref="B1:K31"/>
  <sheetViews>
    <sheetView zoomScale="110" zoomScaleNormal="110" workbookViewId="0">
      <selection activeCell="C10" sqref="C10:E10"/>
    </sheetView>
  </sheetViews>
  <sheetFormatPr defaultRowHeight="14.45" customHeight="1" x14ac:dyDescent="0.25"/>
  <cols>
    <col min="1" max="1" width="2.5703125" customWidth="1"/>
    <col min="2" max="2" width="75.42578125" customWidth="1"/>
    <col min="11" max="11" width="8.7109375" customWidth="1"/>
  </cols>
  <sheetData>
    <row r="1" spans="2:11" ht="30" customHeight="1" x14ac:dyDescent="0.25">
      <c r="B1" s="48" t="s">
        <v>4</v>
      </c>
      <c r="C1" s="49"/>
      <c r="D1" s="49"/>
      <c r="E1" s="49"/>
      <c r="F1" s="49"/>
      <c r="G1" s="49"/>
      <c r="H1" s="49"/>
      <c r="I1" s="49"/>
      <c r="J1" s="49"/>
      <c r="K1" s="49"/>
    </row>
    <row r="2" spans="2:11" ht="14.45" customHeight="1" x14ac:dyDescent="0.25">
      <c r="B2" s="2"/>
      <c r="C2" s="2"/>
      <c r="D2" s="2"/>
      <c r="E2" s="2"/>
      <c r="F2" s="2"/>
      <c r="G2" s="3"/>
      <c r="H2" s="3"/>
      <c r="I2" s="3"/>
    </row>
    <row r="3" spans="2:11" ht="21" customHeight="1" x14ac:dyDescent="0.25">
      <c r="B3" s="25" t="s">
        <v>33</v>
      </c>
      <c r="C3" s="2"/>
      <c r="D3" s="2"/>
      <c r="E3" s="2"/>
      <c r="F3" s="2"/>
      <c r="G3" s="3"/>
      <c r="H3" s="3"/>
      <c r="I3" s="3"/>
    </row>
    <row r="4" spans="2:11" ht="14.45" customHeight="1" x14ac:dyDescent="0.25">
      <c r="B4" s="1" t="s">
        <v>34</v>
      </c>
    </row>
    <row r="5" spans="2:11" ht="14.45" customHeight="1" x14ac:dyDescent="0.25">
      <c r="B5" s="4" t="s">
        <v>0</v>
      </c>
      <c r="C5" s="5"/>
      <c r="D5" s="5"/>
      <c r="E5" s="5"/>
    </row>
    <row r="6" spans="2:11" ht="14.45" customHeight="1" x14ac:dyDescent="0.25">
      <c r="B6" s="6" t="s">
        <v>1</v>
      </c>
      <c r="C6" s="51" t="s">
        <v>2</v>
      </c>
      <c r="D6" s="51"/>
      <c r="E6" s="51"/>
    </row>
    <row r="7" spans="2:11" ht="14.45" customHeight="1" x14ac:dyDescent="0.25">
      <c r="B7" s="7" t="s">
        <v>35</v>
      </c>
      <c r="C7" s="52">
        <v>30</v>
      </c>
      <c r="D7" s="53"/>
      <c r="E7" s="54"/>
    </row>
    <row r="8" spans="2:11" ht="14.45" customHeight="1" x14ac:dyDescent="0.25">
      <c r="B8" s="7" t="s">
        <v>36</v>
      </c>
      <c r="C8" s="52">
        <v>15</v>
      </c>
      <c r="D8" s="53"/>
      <c r="E8" s="54"/>
    </row>
    <row r="9" spans="2:11" ht="14.45" customHeight="1" x14ac:dyDescent="0.25">
      <c r="B9" s="7" t="s">
        <v>37</v>
      </c>
      <c r="C9" s="52">
        <v>10</v>
      </c>
      <c r="D9" s="53"/>
      <c r="E9" s="54"/>
    </row>
    <row r="10" spans="2:11" ht="14.45" customHeight="1" x14ac:dyDescent="0.25">
      <c r="B10" s="7"/>
      <c r="C10" s="50"/>
      <c r="D10" s="50"/>
      <c r="E10" s="50"/>
    </row>
    <row r="11" spans="2:11" ht="14.45" customHeight="1" x14ac:dyDescent="0.25">
      <c r="B11" s="8" t="s">
        <v>3</v>
      </c>
      <c r="C11" s="47">
        <f>SUM(C7:C10)</f>
        <v>55</v>
      </c>
      <c r="D11" s="47"/>
      <c r="E11" s="47"/>
    </row>
    <row r="12" spans="2:11" ht="14.45" customHeight="1" x14ac:dyDescent="0.25">
      <c r="B12" s="9"/>
      <c r="C12" s="10"/>
      <c r="D12" s="10"/>
      <c r="E12" s="10"/>
    </row>
    <row r="13" spans="2:11" ht="14.45" customHeight="1" x14ac:dyDescent="0.25">
      <c r="B13" s="33" t="str">
        <f>CONCATENATE(B7," - "," (",C7," points)")</f>
        <v>D.5 Proponent Experience and Qualifications - Data Integration -  (30 points)</v>
      </c>
      <c r="C13" s="33"/>
      <c r="D13" s="33"/>
      <c r="E13" s="33"/>
      <c r="F13" s="33"/>
      <c r="G13" s="33"/>
      <c r="H13" s="33"/>
      <c r="I13" s="33"/>
      <c r="J13" s="33"/>
      <c r="K13" s="33"/>
    </row>
    <row r="14" spans="2:11" s="11" customFormat="1" ht="120.75" customHeight="1" x14ac:dyDescent="0.25">
      <c r="B14" s="37" t="s">
        <v>42</v>
      </c>
      <c r="C14" s="37"/>
      <c r="D14" s="37"/>
      <c r="E14" s="37"/>
      <c r="F14" s="37"/>
      <c r="G14" s="37"/>
      <c r="H14" s="37"/>
      <c r="I14" s="37"/>
      <c r="J14" s="37"/>
      <c r="K14" s="37"/>
    </row>
    <row r="15" spans="2:11" ht="120" customHeight="1" x14ac:dyDescent="0.25">
      <c r="B15" s="37" t="s">
        <v>6</v>
      </c>
      <c r="C15" s="37"/>
      <c r="D15" s="37"/>
      <c r="E15" s="37"/>
      <c r="F15" s="37"/>
      <c r="G15" s="37"/>
      <c r="H15" s="37"/>
      <c r="I15" s="37"/>
      <c r="J15" s="37"/>
      <c r="K15" s="37"/>
    </row>
    <row r="17" spans="2:11" ht="169.5" customHeight="1" x14ac:dyDescent="0.25">
      <c r="B17" s="38" t="s">
        <v>78</v>
      </c>
      <c r="C17" s="38"/>
      <c r="D17" s="38"/>
      <c r="E17" s="38"/>
      <c r="F17" s="38"/>
      <c r="G17" s="38"/>
      <c r="H17" s="38"/>
      <c r="I17" s="38"/>
      <c r="J17" s="38"/>
      <c r="K17" s="38"/>
    </row>
    <row r="19" spans="2:11" ht="14.45" customHeight="1" x14ac:dyDescent="0.25">
      <c r="B19" s="55" t="str">
        <f>CONCATENATE(B8," (",C8," points)")</f>
        <v>D.6 Capacity to Deliver - Data Integration (15 points)</v>
      </c>
      <c r="C19" s="55"/>
      <c r="D19" s="55"/>
      <c r="E19" s="55"/>
      <c r="F19" s="55"/>
      <c r="G19" s="55"/>
      <c r="H19" s="55"/>
      <c r="I19" s="55"/>
      <c r="J19" s="55"/>
      <c r="K19" s="55"/>
    </row>
    <row r="20" spans="2:11" ht="43.5" customHeight="1" x14ac:dyDescent="0.25">
      <c r="B20" s="56" t="s">
        <v>48</v>
      </c>
      <c r="C20" s="56"/>
      <c r="D20" s="56"/>
      <c r="E20" s="56"/>
      <c r="F20" s="56"/>
      <c r="G20" s="56"/>
      <c r="H20" s="56"/>
      <c r="I20" s="56"/>
      <c r="J20" s="56"/>
      <c r="K20" s="56"/>
    </row>
    <row r="21" spans="2:11" ht="43.5" customHeight="1" x14ac:dyDescent="0.25">
      <c r="B21" s="36" t="s">
        <v>88</v>
      </c>
      <c r="C21" s="36"/>
      <c r="D21" s="36"/>
      <c r="E21" s="36"/>
      <c r="F21" s="36"/>
      <c r="G21" s="36"/>
      <c r="H21" s="36"/>
      <c r="I21" s="36"/>
      <c r="J21" s="36"/>
      <c r="K21" s="36"/>
    </row>
    <row r="23" spans="2:11" ht="43.5" customHeight="1" x14ac:dyDescent="0.25">
      <c r="B23" s="38" t="s">
        <v>79</v>
      </c>
      <c r="C23" s="38"/>
      <c r="D23" s="38"/>
      <c r="E23" s="38"/>
      <c r="F23" s="38"/>
      <c r="G23" s="38"/>
      <c r="H23" s="38"/>
      <c r="I23" s="38"/>
      <c r="J23" s="38"/>
      <c r="K23" s="38"/>
    </row>
    <row r="25" spans="2:11" ht="43.5" customHeight="1" x14ac:dyDescent="0.25">
      <c r="B25" s="38" t="s">
        <v>80</v>
      </c>
      <c r="C25" s="38"/>
      <c r="D25" s="38"/>
      <c r="E25" s="38"/>
      <c r="F25" s="38"/>
      <c r="G25" s="38"/>
      <c r="H25" s="38"/>
      <c r="I25" s="38"/>
      <c r="J25" s="38"/>
      <c r="K25" s="38"/>
    </row>
    <row r="27" spans="2:11" ht="14.45" customHeight="1" x14ac:dyDescent="0.25">
      <c r="B27" s="55" t="str">
        <f>CONCATENATE(B9," (",C9," points)")</f>
        <v>D.7 Value Add-ons and Innovation - Data Integration (10 points)</v>
      </c>
      <c r="C27" s="55"/>
      <c r="D27" s="55"/>
      <c r="E27" s="55"/>
      <c r="F27" s="55"/>
      <c r="G27" s="55"/>
      <c r="H27" s="55"/>
      <c r="I27" s="55"/>
      <c r="J27" s="55"/>
      <c r="K27" s="55"/>
    </row>
    <row r="28" spans="2:11" ht="15.75" customHeight="1" x14ac:dyDescent="0.25">
      <c r="B28" s="56" t="s">
        <v>5</v>
      </c>
      <c r="C28" s="56"/>
      <c r="D28" s="56"/>
      <c r="E28" s="56"/>
      <c r="F28" s="56"/>
      <c r="G28" s="56"/>
      <c r="H28" s="56"/>
      <c r="I28" s="56"/>
      <c r="J28" s="56"/>
      <c r="K28" s="56"/>
    </row>
    <row r="29" spans="2:11" ht="29.1" customHeight="1" x14ac:dyDescent="0.25">
      <c r="B29" s="36" t="s">
        <v>81</v>
      </c>
      <c r="C29" s="36"/>
      <c r="D29" s="36"/>
      <c r="E29" s="36"/>
      <c r="F29" s="36"/>
      <c r="G29" s="36"/>
      <c r="H29" s="36"/>
      <c r="I29" s="36"/>
      <c r="J29" s="36"/>
      <c r="K29" s="36"/>
    </row>
    <row r="31" spans="2:11" ht="29.1" customHeight="1" x14ac:dyDescent="0.25">
      <c r="B31" s="36" t="s">
        <v>82</v>
      </c>
      <c r="C31" s="36"/>
      <c r="D31" s="36"/>
      <c r="E31" s="36"/>
      <c r="F31" s="36"/>
      <c r="G31" s="36"/>
      <c r="H31" s="36"/>
      <c r="I31" s="36"/>
      <c r="J31" s="36"/>
      <c r="K31" s="36"/>
    </row>
  </sheetData>
  <mergeCells count="20">
    <mergeCell ref="B17:K17"/>
    <mergeCell ref="B31:K31"/>
    <mergeCell ref="B23:K23"/>
    <mergeCell ref="B19:K19"/>
    <mergeCell ref="B20:K20"/>
    <mergeCell ref="B21:K21"/>
    <mergeCell ref="B25:K25"/>
    <mergeCell ref="B27:K27"/>
    <mergeCell ref="B28:K28"/>
    <mergeCell ref="B29:K29"/>
    <mergeCell ref="B13:K13"/>
    <mergeCell ref="B14:K14"/>
    <mergeCell ref="B15:K15"/>
    <mergeCell ref="B1:K1"/>
    <mergeCell ref="C11:E11"/>
    <mergeCell ref="C10:E10"/>
    <mergeCell ref="C6:E6"/>
    <mergeCell ref="C7:E7"/>
    <mergeCell ref="C8:E8"/>
    <mergeCell ref="C9:E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ff50c7a-a999-4a7e-8379-e43d378a1d02">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A56E7D083FC234491B882F382608DFC" ma:contentTypeVersion="6" ma:contentTypeDescription="Create a new document." ma:contentTypeScope="" ma:versionID="61e4cb5c7738dc343f58e4235b989513">
  <xsd:schema xmlns:xsd="http://www.w3.org/2001/XMLSchema" xmlns:xs="http://www.w3.org/2001/XMLSchema" xmlns:p="http://schemas.microsoft.com/office/2006/metadata/properties" xmlns:ns2="434be040-d1c3-4b6a-9aef-15a0aaed3d40" xmlns:ns3="4ff50c7a-a999-4a7e-8379-e43d378a1d02" targetNamespace="http://schemas.microsoft.com/office/2006/metadata/properties" ma:root="true" ma:fieldsID="76ce8678d03834ce9478c85c6b53f382" ns2:_="" ns3:_="">
    <xsd:import namespace="434be040-d1c3-4b6a-9aef-15a0aaed3d40"/>
    <xsd:import namespace="4ff50c7a-a999-4a7e-8379-e43d378a1d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4be040-d1c3-4b6a-9aef-15a0aaed3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f50c7a-a999-4a7e-8379-e43d378a1d0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191286-B6B6-4345-89CC-94358C863066}">
  <ds:schemaRefs>
    <ds:schemaRef ds:uri="http://purl.org/dc/dcmitype/"/>
    <ds:schemaRef ds:uri="http://purl.org/dc/elements/1.1/"/>
    <ds:schemaRef ds:uri="http://purl.org/dc/terms/"/>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4ff50c7a-a999-4a7e-8379-e43d378a1d02"/>
    <ds:schemaRef ds:uri="434be040-d1c3-4b6a-9aef-15a0aaed3d40"/>
  </ds:schemaRefs>
</ds:datastoreItem>
</file>

<file path=customXml/itemProps2.xml><?xml version="1.0" encoding="utf-8"?>
<ds:datastoreItem xmlns:ds="http://schemas.openxmlformats.org/officeDocument/2006/customXml" ds:itemID="{2B42EE23-04E8-4BCF-B8A9-95752B3678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4be040-d1c3-4b6a-9aef-15a0aaed3d40"/>
    <ds:schemaRef ds:uri="4ff50c7a-a999-4a7e-8379-e43d378a1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ECBD4F-683C-4E43-94CD-66A85D6366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Data Governance</vt:lpstr>
      <vt:lpstr>2) Business Transformation</vt:lpstr>
      <vt:lpstr>3) Data Management Support</vt:lpstr>
      <vt:lpstr>4) Reporting, BI, Dashboards</vt:lpstr>
      <vt:lpstr>5) Data Science, ML, AI</vt:lpstr>
      <vt:lpstr>6) Data Integration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Grad, Glenn SBP</dc:creator>
  <cp:keywords/>
  <dc:description/>
  <cp:lastModifiedBy>Plysiuk-Kolish, Sheryl SB</cp:lastModifiedBy>
  <cp:revision/>
  <dcterms:created xsi:type="dcterms:W3CDTF">2023-02-13T16:51:04Z</dcterms:created>
  <dcterms:modified xsi:type="dcterms:W3CDTF">2023-05-09T16:51:40Z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0x0101003A56E7D083FC234491B882F382608DFC</vt:lpwstr>
  </property>
  <property fmtid="{D5CDD505-2E9C-101B-9397-08002B2CF9AE}" pid="3" name="Order">
    <vt:r8>900</vt:r8>
  </property>
  <property fmtid="{D5CDD505-2E9C-101B-9397-08002B2CF9AE}" pid="4" name="xd_Signature">
    <vt:bool>false</vt:bool>
  </property>
  <property fmtid="{D5CDD505-2E9C-101B-9397-08002B2CF9AE}" pid="5" name="xd_ProgID">
    <vt:lpwstr/>
  </property>
  <property fmtid="{D5CDD505-2E9C-101B-9397-08002B2CF9AE}" pid="6" name="_ColorHex">
    <vt:lpwstr/>
  </property>
  <property fmtid="{D5CDD505-2E9C-101B-9397-08002B2CF9AE}" pid="7" name="_Emoji">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_ColorTag">
    <vt:lpwstr/>
  </property>
  <property fmtid="{D5CDD505-2E9C-101B-9397-08002B2CF9AE}" pid="12" name="TriggerFlowInfo">
    <vt:lpwstr/>
  </property>
</Properties>
</file>